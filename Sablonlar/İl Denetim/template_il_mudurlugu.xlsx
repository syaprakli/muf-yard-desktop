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urkan.neseli\Desktop\"/>
    </mc:Choice>
  </mc:AlternateContent>
  <bookViews>
    <workbookView xWindow="-110" yWindow="-110" windowWidth="19420" windowHeight="10300" activeTab="1"/>
  </bookViews>
  <sheets>
    <sheet name="Başlangıç" sheetId="1" r:id="rId1"/>
    <sheet name="Teftiş Noktaları" sheetId="2" r:id="rId2"/>
    <sheet name="Mevzuat Bankası" sheetId="3" r:id="rId3"/>
    <sheet name="Özet Tablo" sheetId="4" r:id="rId4"/>
  </sheets>
  <externalReferences>
    <externalReference r:id="rId5"/>
  </externalReferences>
  <definedNames>
    <definedName name="_xlnm._FilterDatabase" localSheetId="1" hidden="1">'Teftiş Noktaları'!$E$2:$N$549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3" i="2"/>
  <c r="J3" i="2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</calcChain>
</file>

<file path=xl/sharedStrings.xml><?xml version="1.0" encoding="utf-8"?>
<sst xmlns="http://schemas.openxmlformats.org/spreadsheetml/2006/main" count="2359" uniqueCount="810">
  <si>
    <t>Sıra No</t>
  </si>
  <si>
    <t>Alan</t>
  </si>
  <si>
    <t>Teftiş Maddesi</t>
  </si>
  <si>
    <t>Durum</t>
  </si>
  <si>
    <t>Bulgu/Açıklama</t>
  </si>
  <si>
    <t>Risk Derecesi</t>
  </si>
  <si>
    <t>Alt Başlık</t>
  </si>
  <si>
    <t>Alt Kırılım</t>
  </si>
  <si>
    <t>Çok Yüksek</t>
  </si>
  <si>
    <t>Yüksek</t>
  </si>
  <si>
    <t>Orta</t>
  </si>
  <si>
    <t>Düşük</t>
  </si>
  <si>
    <t>Çok Düşük</t>
  </si>
  <si>
    <t>Mevzuat</t>
  </si>
  <si>
    <t>Mevzuat Linki</t>
  </si>
  <si>
    <t>Uygun</t>
  </si>
  <si>
    <t>Teftiş Raporuna Konu Edildi</t>
  </si>
  <si>
    <t>Tekrar Bakılacak</t>
  </si>
  <si>
    <t>Özel spor tesisi açılış dosyalarında; belediye izin belgesi, itfaiye raporu, sağlık raporu ve kolluk kuvveti görüşü eksiksiz midir?</t>
  </si>
  <si>
    <t>Tesis bünyesindeki antrenör, masör veya eğiticilerle yapılan sözleşmelerin tasdikli suretleri dosyalarında mevcut mudur?</t>
  </si>
  <si>
    <t>Açılış işlemleri tamamlanmayan veya izni bulunmayan tesislerin izinsiz faaliyet göstermeleri engellenmiş midir?</t>
  </si>
  <si>
    <t>Tesis tescil ücretlerinin %50'sinin Genel Müdürlük, %50'sinin İl Müdürlüğü hesabına yatırıldığına dair makbuzlar dosyasında mıdır?</t>
  </si>
  <si>
    <t>Özel spor tesislerinin açılış izin tarihleri esas alınarak, komisyon marifetiyle her yıl düzenli vize işlemleri yapılmış mıdır?</t>
  </si>
  <si>
    <t>Vize kontrollerini yapan komisyon; İl Müdürü başkanlığında, ilgili şube müdürleri, federasyon temsilcisi ve sağlık personeli katılımıyla usulüne uygun oluşturulmuş mudur?</t>
  </si>
  <si>
    <t>Vize süresi dolan tesislerin faaliyetleri yerinde tetkik edilerek uygunlukları tutanak altına alınmış mıdır?</t>
  </si>
  <si>
    <t>Özel spor tesisleri denetim formlarında yer alan “komisyonun tesise ilişkin görüş ve düşünceleri” bölümü eksiksiz doldurulmuş mudur?</t>
  </si>
  <si>
    <t>Yapılan denetimlerde; tesisin amacı dışında kullanılıp kullanılmadığı, çalışma saatleri ve yaş sınırlarına riayet edilip edilmediği incelenmiş midir?</t>
  </si>
  <si>
    <t>Tesislerde öğretici çalıştırma zorunluluğuna uyulup uyulmadığı ve noksan görülen işlemlerin akıbeti kayıt altına alınmış mıdır?</t>
  </si>
  <si>
    <t>İlçelerin ihtiyaç duyduğu spor dallarına ilişkin, Milli Eğitim ile koordineli şekilde “İlçe Sportif Faaliyetleri Değerlendirme Raporu” hazırlanmış mıdır?</t>
  </si>
  <si>
    <t>Antrenörlerin branş ve ihtiyaç analizlerini yapmak üzere “İl Antrenör Koordinasyon ve Değerlendirme Kurulu” kararı alınmış mıdır?</t>
  </si>
  <si>
    <t>Antrenörler için Kurul kararı doğrultusunda günlük, haftalık ve aylık dönemleri kapsayan çalışma programları hazırlanmış mıdır?</t>
  </si>
  <si>
    <t>Hazırlanan antrenör çalışma programlarının uygulanmasına ilişkin Valilik makamından onay alınmış mıdır?</t>
  </si>
  <si>
    <t>Antrenörlerin tüm ilçelerde dönemler halinde ve haftanın belirli günlerinde (en az 2 gün) görev yapması sağlanmış mıdır?</t>
  </si>
  <si>
    <t>Antrenörler, kendi branş faaliyetlerinin yanı sıra "Türkiye Sportif Yetenek Taraması ve Spora Yönlendirme Projesi"nde görevlendirilmiş midir?</t>
  </si>
  <si>
    <t>Antrenörlük belgesi bulunan sportif eğitim uzmanlarının, ihtiyaç halinde ve talepleri doğrultusunda ilçelerde görevlendirmesi yapılmış mıdır?</t>
  </si>
  <si>
    <t>Antrenörlerin 40 saatlik çalışma programları, mesai saatleri dışındaki sportif faaliyetleri kapsayacak şekilde birim amirince onaylanmış mıdır?</t>
  </si>
  <si>
    <t>Sayıca fazla olan veya 40 saatlik çalışma süresini doldurmayan antrenörler, öğretim kurumlarında veya temel alıştırma çalışmalarında görevlendirilmiş midir?</t>
  </si>
  <si>
    <t>Antrenörlerin günlük, haftalık, aylık ve yıllık programlarının takibi Spor Hizmetleri Şube Müdürlüğü tarafından düzenli olarak yapılmış mıdır?</t>
  </si>
  <si>
    <t>Tesis denetimlerinde, antrenörlerin faaliyet programında belirtilen antrenmanları fiilen gerçekleştirip gerçekleştirmedikleri kontrol edilmiş midir?</t>
  </si>
  <si>
    <t>Antrenörlerin sporcu potansiyelini artırmaya yönelik okul ve kulüp ziyaretleri ile sporcu devam takip belgeleri dosyalarında mevcut mudur?</t>
  </si>
  <si>
    <t>Antrenör çalışma programlarının İl Müdürlüğü tarafından tasdik edildiğine dair onaylı belgeler mevcut mudur?</t>
  </si>
  <si>
    <t>İl Müdürü veya Şube Müdürü başkanlığında; spor temsilcisi, eğitim uzmanı ve antrenörden oluşan “İl Antrenör Koordinasyon ve Değerlendirme Kurulu” kurulmuş mudur?</t>
  </si>
  <si>
    <t>Söz konusu kurul, antrenörlerin görev ve sorumluluklarını yerine getirip getirmediğini takip ederek düzenli rapor hazırlamış mıdır?</t>
  </si>
  <si>
    <t>Antrenörlerin idari yönden denetimleri, Kurul tarafından hazırlanan raporlar esas alınarak İl veya İlçe Müdürlüklerince yapılmış mıdır?</t>
  </si>
  <si>
    <t>Çalışmaları yetersiz görülen kadrolu veya sözleşmeli antrenörler hakkında mevzuat dahilinde gerekli yasal işlemler tesis edilmiş midir?</t>
  </si>
  <si>
    <t>İl spor dalı temsilcileri ile her ay düzenli toplantı yapılarak branş raporları kayıt altına alınmış mıdır?</t>
  </si>
  <si>
    <t>Görev yapan il spor dalı temsilcilerinin; sporcu, antrenör veya hakemlik geçmişi gibi mevzuatta aranan niteliklere sahip olduğu saptanmış mıdır?</t>
  </si>
  <si>
    <t>Spor kulüplerine yapılan nakdi yardımlara ilişkin harcama belgelerinin 15 gün içerisinde İl Müdürlüğüne teslimi sağlanmış mı?</t>
  </si>
  <si>
    <t>Nakdi yardım alan kulüplerin; "Kulüp Alındı Belgesi", "Ayni Bağış Alındı Belgesi" ve fotoğraflı "Yetki Belgesi" dosyalarında mevcut mudur?</t>
  </si>
  <si>
    <t>Kulüp yardımlarına ilişkin harcama belgelerinin takibi ve muhafazası, mevzuata uygun olarak "Sicil Lisans ve Spor Kulüpleri Birimi"nce mi yapılıyor?</t>
  </si>
  <si>
    <t>Kulüpler tarafından verilen taahhütnamelerde yardım tutarı ve düzenleme tarihi bilgileri eksiksiz yer almakta mıdır?</t>
  </si>
  <si>
    <t>Lisanslı veya faal sporcusu bulunmayan kulüplere yardım yapılmaması hususuna riayet edilmekte midir?</t>
  </si>
  <si>
    <t>Taahhüt ettiği spor dallarında arka arkaya iki sezon faaliyet göstermeyen kulüplere yönelik yazılı uyarı yapılmış mıdır?</t>
  </si>
  <si>
    <t>Uyarıya rağmen faaliyet göstermeyen kulüplerin tescillerinin iptali için komisyon kararı alınıp Valilik onayına sunulmuş mudur?</t>
  </si>
  <si>
    <t>Kulüplerin nakdi yardımları taahhüt ettikleri amaçlar doğrultusunda harcayıp harcamadıkları yerinde denetlenmiş midir?</t>
  </si>
  <si>
    <t>İl spor temsilcilerinin branşlarının geliştirilmesine yönelik sunduğu öneri ve raporlar ilgili dosyada muhafaza ediliyor mu?</t>
  </si>
  <si>
    <t>Spor kulübü tescil iptal süreçlerinde mevzuatın öngördüğü "iki sezon" kuralı titizlikle takip edilmekte midir?</t>
  </si>
  <si>
    <t>Yardım alan kulüplerin ibraz ettiği harcama belgelerinin (fatura vb.) yardımın yapıldığı tarihle uyumlu olduğu görülmüş müdür?</t>
  </si>
  <si>
    <t>Lisanslı sporcu sayısı ile faal sporcu sayısı arasındaki farkın makul seviyede tutulması için gerekli çalışmalar yapılmış mıdır?</t>
  </si>
  <si>
    <t>İl genelinde faal olan tüm spor branşları için "İl Temsilcisi" görevlendirmeleri eksiksiz şekilde tamamlanmış mıdır?</t>
  </si>
  <si>
    <t>İl Müdürlüğü bünyesinde faal olarak yürütülen branşlarda, müsabakaları yönetecek yeterli sayıda hakem bulunmakta mıdır?</t>
  </si>
  <si>
    <t>Kafile onay belgelerinde; seyahat türü, araç plakası, şoför kimlik ve ehliyet bilgileri mevzuata uygun şekilde belirtilmiş midir?</t>
  </si>
  <si>
    <t>Seyahat türü "Kiralık Araç" olarak belirlenen kafilelerde; kiralama sözleşmesi, fatura ve ödeme belgeleri dosyada mevcut mudur?</t>
  </si>
  <si>
    <t>Kiralık araç kullanılan seyahatlerde, toplu seyahat yolluk bildirimi ile kiralama bedeli arasında mükerrer ödemeye yol açacak beyanlar var mıdır?</t>
  </si>
  <si>
    <t>Araç ruhsatı ve şoför evrakları gibi belgelerin fotoğrafı yerine, aslına uygun onaylı suretleri dosyalarda muhafaza ediliyor mu?</t>
  </si>
  <si>
    <t>Reşit olmayan sporcular için "Veli İzin Belgesi" (Ek-3/c) ve seyahat taahhüt belgeleri Spor Şube Müdürlüğünde arşivlenmiş midir?</t>
  </si>
  <si>
    <t>Kafilelerde görevlendirilen kiralık araçların mevzuatta öngörülen "en fazla 7 yaşında olma" şartını taşıdığı kontrol edilmiş midir?</t>
  </si>
  <si>
    <t>Kiralık araçların model yılı bilgileri kafile onay belgelerinde açıkça belirtilmiş midir?</t>
  </si>
  <si>
    <t>Okul sporları faaliyet dosyalarında; müsabaka sonuç listeleri ve derece elde edildiğine dair resmi belgeler yer almakta mıdır?</t>
  </si>
  <si>
    <t>"Kendi imkanlarıyla seyahat" edeceği belirtilenlerin iaşe, ibate ve sorumluluklarının kendilerine ait olduğu hususu kayıt altına alınmış mıdır?</t>
  </si>
  <si>
    <t>Spor kafilelerinde görevlendirilen kafile başkanı, idareci ve antrenör sayıları, sporcu sayısına göre belirlenen yasal limitlere uygun mudur?</t>
  </si>
  <si>
    <t>Görev ücreti ödenen personelin, bu görevi asli mesai saatleri dışında ve fiilen yerine getirdiği "Müsabaka Tutanağı" ile belgelenmiş midir?</t>
  </si>
  <si>
    <t>Personelin aynı gün ve aynı saat dilimi içerisinde birden fazla müsabakada görevli gösterilerek mükerrer ücret alması engellenmiş midir?</t>
  </si>
  <si>
    <t>Bir günde ödenecek maksimum seans limiti (en fazla 3 seans) ve gece/gündüz ayrımı kurallarına titizlikle riayet edilmekte midir?</t>
  </si>
  <si>
    <t>Mesai saatleri içerisindeki görevlendirmeler için usulsüz seans ücreti ödenip ödenmediği kontrol edilmiş midir?</t>
  </si>
  <si>
    <t>Görev listesinde imzası olmayan veya "gelmedi" notu düşülen personele sehven veya kasten ödeme yapılmış mıdır?</t>
  </si>
  <si>
    <t>Valilik/İl Müdürlüğü Olur'unda ismi bulunmayan kişilere herhangi bir isim altında görev ücreti ödemesi yapılmış mıdır?</t>
  </si>
  <si>
    <t>Ödeme evrakına eklenen tutanaklarda; faaliyetin adı, yeri, başlangıç ve bitiş saatleri ile görevli personel bilgileri eksiksiz yer alıyor mu?</t>
  </si>
  <si>
    <t>Personel görevlendirmeleri; tesis kapasitesi, faaliyetin önemi ve tasarruf tedbirleri gözetilerek "makul sayıda" mı tutulmaktadır?</t>
  </si>
  <si>
    <t>Görevlendirmelerin sürekli aynı personel/birim üzerinde yoğunlaşması yerine, liyakat ve adaletli dağılım ilkelerine göre yapıldığı görülmüş müdür?</t>
  </si>
  <si>
    <t>Hakem ücretlerinin; takım sporlarında müsabaka başına, ferdi sporlarda ise seans başına ödenmesi kuralına uyulmakta mıdır?</t>
  </si>
  <si>
    <t>Dört saatten az süren müsabakalar için (gece-gündüz birleşse dahi) tek seans ücreti ödenmesi kuralı uygulanıyor mu?</t>
  </si>
  <si>
    <t>Memuriyet mahalli dışı görevlerde; görev ücreti ile harcırah tutarı kıyaslanarak sadece yüksek olanın ödenmesi kuralına riayet edilmiş midir?</t>
  </si>
  <si>
    <t>Görevlendirilen personele aynı gün için hem gündelik (harcırah) hem de görev ücreti ödenerek mükerrer ödemeye yol açılmış mıdır?</t>
  </si>
  <si>
    <t>Sözleşmeli antrenörlere, hizmet sözleşmesindeki "sözleşme ücreti dışında ödeme yapılamaz" hükmüne aykırı olarak ekstra ücret ödenmiş midir?</t>
  </si>
  <si>
    <t>Sözleşmeli personelin; eğitici veya çalıştırıcı gibi farklı unvanlar adı altında görevlendirilerek usulsüz ödeme alması engellenmiş midir?</t>
  </si>
  <si>
    <t>Görevlendirme onaylarında ve müsabaka tutanaklarında, isimlerin üzeri çizilerek yapılan sonradan eklemeler ve yetkisiz paraflar mevcut mudur?</t>
  </si>
  <si>
    <t>Sonradan (elle) eklenen personelin müsabakada fiilen görev yaptığına dair tevsik edici belgeler ödeme emri dosyasına eklenmiş midir?</t>
  </si>
  <si>
    <t>Personelin asli görevi kapsamındaki denetim faaliyetleri için (ayrıca bir unvan ihdas edilerek) usulsüz görev ücreti ödenmiş midir?</t>
  </si>
  <si>
    <t>İl Spor Merkezlerindeki antrenörlerin denetimi, usulüne uygun şekilde "Organizasyon ve Düzenleme Kurulu" ile "Teknik Kurul" tarafından mı yapılıyor?</t>
  </si>
  <si>
    <t>Organizasyon ve Düzenleme Kurulu üyesi olan şube müdürlerine, asli görevleri olan denetim faaliyeti için ek bir ücret ödemesi yapılmış mıdır?</t>
  </si>
  <si>
    <t>Mevzuatta "denetim" görevi tanımlanmayan Sicil Lisans ve Spor Kulüpleri Şube Müdürüne denetim adı altında görev ücreti tahakkuk ettirilmiş midir?</t>
  </si>
  <si>
    <t>Gençlik Merkezi müdür ve personelinin, merkezin kuruluş amacı gereği yürüttüğü denetim faaliyetleri için ek ücret alması engellenmiş midir?</t>
  </si>
  <si>
    <t>Görevlendirme onaylarında; 2001/2863 sayılı BKK ekli tablolarında yer almayan "Denetmen" veya "Koordinatör" gibi norm dışı unvanlar kullanılmış mıdır?</t>
  </si>
  <si>
    <t>Tesis amiri veya antrenörün halihazırda görevli olduğu saatlerde, ayrıca bir "denetmen" görevlendirilerek kamu kaynağı israfına yol açılmış mıdır?</t>
  </si>
  <si>
    <t>Denetim ücretleri, fiili çalışma saatine bakılmaksızın maktu olarak (her ay standart 32 saat üzerinden vb.) mı ödenmektedir?</t>
  </si>
  <si>
    <t>İl ve İlçe Müdürlerinin asli yönetim görevleri kapsamında yaptıkları tesis ziyaretleri için "denetim ücreti" adı altında ödeme yapılmış mıdır?</t>
  </si>
  <si>
    <t>İl Spor Merkezleri Teknik Kurulu, antrenör programlarının uygulanmasını günlük/haftalık olarak takip edip dosyalamakta mıdır?</t>
  </si>
  <si>
    <t>Görevlendirme onaylarında yer alan unvanların, BKK ekli tablolarındaki  unvanlarla birebir örtüştüğü görülmüş müdür?</t>
  </si>
  <si>
    <t>657 sayılı Kanuna tabi antrenörlerin, amatör spor kulüplerinde maddi menfaat karşılığı çalışıp çalışmadığı denetlenmekte midir?</t>
  </si>
  <si>
    <t>Antrenörlerin; tacir, esnaf veya ticari şirket ortağı gibi ticaret yasağı kapsamındaki faaliyetlerde bulunup bulunmadığı tespit edilmiş midir?</t>
  </si>
  <si>
    <t>Ticari veya kazanç getirici faaliyette bulunduğu saptanan personel hakkında, ivedilikle disiplin soruşturması başlatılmış mıdır?</t>
  </si>
  <si>
    <t>Sporcu Eğitim Merkezlerinde (SEM); antrenör, psikolog ve belletmen gibi zorunlu personelin görevlendirmeleri tam mıdır?</t>
  </si>
  <si>
    <t>SEM sporcularına yönelik psikoloji, NLP veya mental eğitim destekleri haftada en az bir saat olacak şekilde düzenli sağlanıyor mu?</t>
  </si>
  <si>
    <t>Eğitim ve öğretim yılı sonunda, merkezdeki çalışmalara ilişkin Daire Başkanlığınca belirlenen formatta rapor hazırlanmış mıdır?</t>
  </si>
  <si>
    <t>Sporcu öğrencilerin sportif başarı, sağlık, performans ve test ölçümlerine ait bilgiler her yıl düzenli olarak dosyalanmakta mıdır?</t>
  </si>
  <si>
    <t>Sayıştay denetim bulguları doğrultusunda, ticaret yasağına aykırı çalışan personelin tespitine yönelik İl Müdürlüğünce yapılan işlemler belgeli midir?</t>
  </si>
  <si>
    <t>Sportif faaliyet giderlerine ait harcama belgelerine (gider fişlerine); federasyon onaylı faaliyet programı veya reglaman eklenmiş midir?</t>
  </si>
  <si>
    <t>SPOR</t>
  </si>
  <si>
    <t>Yangın söndürme cihazlarının yıllık genel kontrolleri yapılarak, dördüncü yıl sonunda hidrostatik testleri ve dolum işlemleri gerçekleştirilmiş midir?</t>
  </si>
  <si>
    <t>Bakıma alınan yangın söndürme cihazlarının yerine, aynı özellik ve sayıda yedek cihazların geçici olarak bırakıldığı görülmüş müdür?</t>
  </si>
  <si>
    <t>Taşınabilir söndürme tüpleri; yerden yüksekliği 90 cm'yi aşmayacak şekilde, kolayca alınabilecek askı aparatları ile duvara monte edilmiş midir?</t>
  </si>
  <si>
    <t>Cihazlar üzerinde, periyodik bakım ve dolum tarihlerini gösteren takip etiketlerinin güncel ve eksiksiz olduğu saptanmış mı?</t>
  </si>
  <si>
    <t>Yurt katlarındaki yangın dolaplarında bulunması gereken tüplerin tam ve kullanıma hazır olduğu doğrulanmış mıdır?</t>
  </si>
  <si>
    <t>Nöbet odalarında; acil durum telefon listesi, nöbet çizelgeleri ve ilgili talimatların (Özel ve Gece Hiz. vb.) asılı olduğu görülmüş müdür?</t>
  </si>
  <si>
    <t>Yurt müdürü, nöbetçi memur olarak görevli olmadığı hallerde, en az on günde bir yurdu mesai dışı veya gece denetlemiş midir?</t>
  </si>
  <si>
    <t>Yapılan gece denetimlerine ilişkin bulguların ve ziyaret saatlerinin nöbet defterine usulüne uygun işlendiği anlaşılmış mıdır?</t>
  </si>
  <si>
    <t>Acil çıkış noktalarına yönlendiren yeşil zemin üzerine beyaz renkli standartlara uygun "ACİL ÇIKIŞ" levhaları mevcut mudur?</t>
  </si>
  <si>
    <t>Lokanta-kantin işletmesinden her gün alınan yemek numunelerinin en az 300 gram olduğu ve sterilize kaplarda alındığı görülmüş müdür?</t>
  </si>
  <si>
    <t>Alınan yemek numuneleri, işletme deposu yerine yurt idaresince belirlenen nöbet odasındaki buzdolabında 72 saat muhafaza ediliyor mu?</t>
  </si>
  <si>
    <t>Kamera kayıt sistemi şifre veya kod sistemiyle korunarak, yetkisiz kişilerin arşivlenmiş kayıtlara erişimi engellenmiş midir?</t>
  </si>
  <si>
    <t>Öğrenci odalarında bulunan elbise dolapları ile deprem anında devrilebilecek diğer tüm eşyaların duvara sabitlemesi yapılmış mıdır?</t>
  </si>
  <si>
    <t>Yurt müdürlüğünde sivil savunma ekipmanları oluşturulmuş ve periyodik yangın tatbikatları gerçekleştirilmiş midir?</t>
  </si>
  <si>
    <t>Güvenlik ve kontrol noktalarında, acil durum numarası güncel "112" olarak ve talimata uygun görsel standartta belirtilmiş midir?</t>
  </si>
  <si>
    <t>Yurt katlarında mevzuat uyarınca asılı bulunması gereken "Yangın Önleme ve Söndürme Talimatı Kılavuzları" mevcut mudur?</t>
  </si>
  <si>
    <t>Yurt çevresini saran ihata duvarı ve tel örgülerin; kontrol dışı girişleri engelleyecek (jiletli tel vb.) fiziki yeterlilikte olduğu görülmüş müdür?</t>
  </si>
  <si>
    <t>İhata duvarlarında zemin veya yapı kaynaklı çökme/yıkılma gibi güvenlik zafiyeti oluşturacak fiziki hasarlar mevcut mudur?</t>
  </si>
  <si>
    <t>Yurt binalarındaki blokların her birinde, mevzuatın öngördüğü şekilde en az iki adet korunmuş çıkış yolu/kapısı tesis edilmiş midir?</t>
  </si>
  <si>
    <t>Kaçış yolu kapıları, kaçış yönüne (dışa) doğru açılacak şekilde ve kullanıcı hareketini engellemeyecek biçimde monte edilmiş midir?</t>
  </si>
  <si>
    <t>Acil çıkış kapılarının el ile kolayca açılabilir durumda olduğu ve kilitli tutulmadığı tespit edilmiş midir?</t>
  </si>
  <si>
    <t>Merdiven basamaklarında kaymayı önleyici malzeme (bant vb.) kullanılarak düşme riskine karşı önlem alınmış mıdır?</t>
  </si>
  <si>
    <t>Bina girişinde ve itfaiyenin kolayca ulaşabileceği bir noktada; kaçış yollarını ve yangın donatılarını gösteren renkli "Yangın Tahliye Projesi" mevcut mudur?</t>
  </si>
  <si>
    <t>Her katta, tahliye anında panikleyenlere yardım etmek ve odaları kontrol etmekle sorumlu bir "Kat Tahliye Görevlisi" belirlenmiş midir?</t>
  </si>
  <si>
    <t>Bir kat alanı 2000 m²’den fazla olan yurtlarda, tahliye projeleri mimari projeden ayrı olarak ruhsat vermeye yetkili mercilere onaylatılmış mıdır?</t>
  </si>
  <si>
    <t>Acil durum asansörleri, yangın pompaları ve jeneratör yerlerinin Tahliye Planı üzerinde güncel ve doğru işaretlendiği görülmüş müdür?</t>
  </si>
  <si>
    <t>Her ay düzenli olarak yapılan periyodik bina kontrolleri, "Periyodik Bina Kontrol Çizelgesi"ne işlenerek İl Müdürlüğüne gönderilmekte midir?</t>
  </si>
  <si>
    <t>Bina kontrol çizelgeleri; yetkili teknisyenler tarafından yerinde inceleme yapılarak imzalanmış mıdır? (Taşınır sorumlusu imzasıyla tanzim edilmediği görülmüş müdür?)</t>
  </si>
  <si>
    <t>Nöbet hizmetine katılan tüm personelin, geçerli bir "İlkyardımcı Belgesi"ne sahip olduğu ve belgelerin güncelliği saptanmış mıdır?</t>
  </si>
  <si>
    <t>Belge geçerlilik süresi dolan personelin, Sağlık Bakanlığı mevzuatına uygun olarak güncelleme eğitimlerine gönderilmesi sağlanmış mıdır?</t>
  </si>
  <si>
    <t>Meydana gelebilecek yangın, doğal afet veya sabotaj durumları için hazırlanan "Bina Tahliye Planı" katlarda ilan edilmiş midir?</t>
  </si>
  <si>
    <t>Yurt binalarında; temizlik personeli odası, malzeme deposu ve idari personelin kullanımı için uygun/yeterli alanlar ayrılmış mıdır?</t>
  </si>
  <si>
    <t>Öğrenci odası olarak kullanılan tüm mekânların içerisinde, standartlara uygun müstakil WC ve banyo alanı mevcut mudur?</t>
  </si>
  <si>
    <t>Yangın merdivenleri, kullanıcıyı çıkmaz alanlara (bodrum/depo) yönlendirmeksizin doğrudan tabii zemin seviyesindeki güvenli alana açılıyor mu?</t>
  </si>
  <si>
    <t>Çıkış niteliği taşımayan kapılar, kullanıcıyı yanıltmayacak şekilde işaretlenmiş veya gerçek çıkışlarla karışmayacak şekilde düzenlenmiş midir?</t>
  </si>
  <si>
    <t>Kaçış yolu kapılarının temiz genişliğinin en az 80 cm, yüksekliğinin ise en az 200 cm olduğu ve eşik bulunmadığı doğrulanmış mıdır?</t>
  </si>
  <si>
    <t>Yurt bünyesinde hizmet veren kantin, lokanta ve berber personeline ait "Hijyen Eğitim Belgeleri" dosyasında mevcut ve güncel midir?</t>
  </si>
  <si>
    <t>İşletici ve çalışanların; adli sicil kaydı, ikametgâh ve nüfus cüzdanı örnekleri yurdun açılışından itibaren 7 gün içinde teslim alınmış mıdır?</t>
  </si>
  <si>
    <t>Yangın çıkış kapılarının duman sızdırmazlık ve yangına dayanıklılık gibi teknik "Yangın Kapısı" niteliklerini taşıdığı saptanmış mıdır?</t>
  </si>
  <si>
    <t>Yatak kapasitesi 200'ü geçen veya yapı yüksekliği 21.50 m'yi aşan yurt binalarında otomatik yağmurlama (sprinkler) sistemi kurulmuş mudur?</t>
  </si>
  <si>
    <t>Yağmurlama sistemi elemanlarının (başlıklar, borular, pompalar vb.) TS EN 12259 standartlarına uygun olduğu saptanmış mıdır?</t>
  </si>
  <si>
    <t>Birinci ve ikinci derece deprem bölgelerinde, sprinkler sistemi borularının kırılmasını önleyecek sismik sabitleme ve esnek bağlantılar mevcut mudur?</t>
  </si>
  <si>
    <t>Olası hasarlarda sistemin sürekliliğini sağlamak için en az 6 adet yedek yağmurlama başlığı ve özel değişim anahtarı bulunduruluyor mu?</t>
  </si>
  <si>
    <t>Sistemdeki kesme vanalarının ve bölgesel kontrol vanalarının devamlı açık kalmasını sağlayacak teknik tedbirler alınmış mıdır?</t>
  </si>
  <si>
    <t>Basınç düşürücü vana kullanılan sistemlerde, her bir vananın önüne ve arkasına basınç takibi için manometre konulmuş mudur?</t>
  </si>
  <si>
    <t>Öğrencilerin büyük eşyalarını (bavul, valiz vb.) güvenle teslim edebilecekleri, mevzuata uygun düzenlenmiş bir "Valiz Odası" mevcut mudur?</t>
  </si>
  <si>
    <t>Valiz odasına teslim edilen eşyaların kayıt altına alındığı ve odanın güvenliğinin sağlandığı görülmüş müdür?</t>
  </si>
  <si>
    <t>Kazan dairesinde en az bir adet 6 kg’lık kuru kimyevi tozlu yangın söndürme cihazı ve büyük kazan dairelerinde yangın dolabı mevcut mudur?</t>
  </si>
  <si>
    <t>İşletme personelinin; lavabolarda sıvı sabun, dezenfektan ve havlu kağıt kullanımı ile bone, kolluk, eldiven disiplinine uyduğu görülmüş müdür?</t>
  </si>
  <si>
    <t>Mutfak zemininin yağsız/kaymaz olduğu, duvar fayanslarının sağlamlığı ve çöp kovalarının kapaklı olduğu saptanmış mıdır?</t>
  </si>
  <si>
    <t>Asansörlerin periyodik muayene sonucunu gösteren güncel yeşil veya mavi etiketleri mevcut mudur?</t>
  </si>
  <si>
    <t>Engelli odaları amacı dışında (manevi danışman odası vb.) kullanılıyor mu? Lavabolarda engelli öğrenci için duş oturağı mevcut mudur?</t>
  </si>
  <si>
    <t>Bina dış güvenliğinde metal detektörü mevcut mu? Engelli rampalarında yıpranmamış kaydırmaz bantlar bulunmakta mıdır?</t>
  </si>
  <si>
    <t>Kazan dairesi girişinde gıda maddesi (süt vb.) bekletilmesi engellenmiş mi? Otomasyon sistemi faal midir?</t>
  </si>
  <si>
    <t>Binanın bodrum katından su alması sonucu oluşan çürüme, oksitlenme ve kapı kirişlerindeki hasarlar için önlem alınmış mıdır?</t>
  </si>
  <si>
    <t>Haşerelere karşı periyodik ilaçlama işlemleri zamanında yapılarak kayıt altına alınmakta mıdır?</t>
  </si>
  <si>
    <t>Sistem odasındaki kabloların zeminle teması kesilerek olası su baskınlarına karşı güvenlik önlemi alınmış mıdır?</t>
  </si>
  <si>
    <t>Yangın merdiveni aydınlatmaları, elektrik kesintisinde otomatik devreye girecek acil durum kiti ile donatılmış mıdır?</t>
  </si>
  <si>
    <t>Sığınak olarak belirlenen mahallerin depo olarak kullanılması engellenmiş mi? Binada yedek güç kaynağı (jeneratör) mevcut mudur?</t>
  </si>
  <si>
    <t>Merdiven boşluklarında güvenlik filesi, pencerelerde ve balkonlarda düşmeyi önleyici emniyet tedbirleri alınmış mıdır?</t>
  </si>
  <si>
    <t>Soğuk hava depolarında, personelin içeride kilitli kalmasını önleyici ışıklı/sesli alarm sistemi faal midir?</t>
  </si>
  <si>
    <t>Gıda maddelerinin zemin ve duvarla teması kesilerek; raf ve paletlerin yerden/duvardan en az 15 cm mesafede olduğu görülmüş müdür?</t>
  </si>
  <si>
    <t>Depolarda gıda muhafazasında gazete veya naylon poşet gibi mevzuata aykırı malzeme kullanımı engellenmiş midir?</t>
  </si>
  <si>
    <t>Açılan paketli ürünlerin etiket bilgileri (SKT, marka, içerik) ürün bitene kadar muhafaza edilmekte midir?</t>
  </si>
  <si>
    <t>Kantinde satışa sunulan tüm ürünlerde; alış/satış fiyatı ve fatura tarihini gösteren onaylı etiketler mevcut mudur?</t>
  </si>
  <si>
    <t>Öğrenci çamaşırhanesinde kullanımın takibi için "Çamaşır/Nevresim Çizelgesi" düzenli olarak tutulmakta mıdır?</t>
  </si>
  <si>
    <t>Bir anda 100’den fazla kişiye hizmet veren mutfaklarda; davlumbaz içi otomatik söndürme ve gaz algılama/kesme sistemleri faal midir?</t>
  </si>
  <si>
    <t>İşletici veya noter onaylı vekaleti bulunan vekili, yurdun açık olduğu süre boyunca bizzat işinin başında bulunmakta mıdır?</t>
  </si>
  <si>
    <t>Lokanta-kantin alanında, öğrencilerin kullanımına açık ve çalışır durumda bir elektronik tartı aleti mevcut mudur?</t>
  </si>
  <si>
    <t>Ecza dolapları; beyaz boyalı, kırmızı ay işaretli, kilit altında ve içeriği (Ek-1 liste) her daim eksiksiz şekilde muhafaza ediliyor mu?</t>
  </si>
  <si>
    <t>Odalarda yeterli priz bulunmakta mıdır? Çoklu priz kullanımının oda başına bir adet ve standartlara uygun olacak şekilde kontrolü yapılıyor mu?</t>
  </si>
  <si>
    <t>Binanın tüm çevresini kapsayacak şekilde, itfaiyenin kolayca bağlantı yapabileceği bir "Yangın Hidrant Sistemi" tesis edilmiş midir?</t>
  </si>
  <si>
    <t>Kazan dairesi; binadan 120 dk, kapısı ise 90 dk yangına dayanıklı bölmelerle tam olarak tecrit edilmiş midir?</t>
  </si>
  <si>
    <t>Yurt Müdürü başkanlığında öğrencilerle ayda en az bir kez toplantı yapılarak, istek/sorunlar tutanakla kayıt altına alınmakta mıdır?</t>
  </si>
  <si>
    <t>Asansör hollerinde, kolayca okunabilecek büyüklükte "YANGIN SIRASINDA KULLANILMAZ" uyarı levhaları mevcut mudur?</t>
  </si>
  <si>
    <t>Bitkisel atık yağların; sızdırmaz kaplarda biriktirildiği ve lisanslı firmalara "Ulusal Atık Taşıma Formu" ile teslim edildiği belgelenmiş mi?</t>
  </si>
  <si>
    <t>Yurt ziyaretçilerinin kimlik bilgileri alınarak "Ziyaretçi Defteri"ne düzenli kaydedildiği ve ziyaretçi kartı verildiği görülmüş müdür?</t>
  </si>
  <si>
    <t>Öğrenci giriş-çıkış takibini sağlayan parmak izi okuma sistemi faal midir? Bloklar arası geçişleri izleyecek şekilde yapılandırılmış mıdır?</t>
  </si>
  <si>
    <t>Yangın uyarı butonları; kaçış yollarında, yerden 110-130 cm yükseklikte ve erişim mesafesi 60 m'yi geçmeyecek şekilde tesis edilmiş midir?</t>
  </si>
  <si>
    <t>Yangın algılama ve uyarı sisteminin; el ile veya otomatik uyarılar neticesinde eksiksiz çalıştığı test edilmiş midir?</t>
  </si>
  <si>
    <t>Tüm öğrenci odalarında, merkezi sistemle bağlantılı duman algılama detektörleri/cihazları mevcut ve çalışır durumda mıdır?</t>
  </si>
  <si>
    <t>İşletici tarafından, Genel Müdürlük onayı alınmaksızın mevzuata aykırı elektrikli araç ve gereç kullanımı engellenmiş midir?</t>
  </si>
  <si>
    <t>Kızartmada kullanılan yağların sıcaklığının 180°C altında tutulduğu ve yağ kalitesinin düzenli olarak ölçüldüğü saptanmış mıdır?</t>
  </si>
  <si>
    <t>Kızartma yağlarındaki Polar Madde oranının %25, Asit Sayısının ise 2,5 mg KOH/g limitlerini aşmadığı doğrulanmış mıdır?</t>
  </si>
  <si>
    <t>Ziyaretçilerin sadece bu amaçla oluşturulmuş özel alanlarda (ziyaretçi salonu vb.) kabul edildiği görülmüş müdür?</t>
  </si>
  <si>
    <t>Su depolarının iç yüzeyleri; PVC membran, paslanmaz çelik veya epoksi kaplama ile hijyen şartlarına uygun hale getirilmiş midir?</t>
  </si>
  <si>
    <t>501 ve üzeri kapasiteli işletmelerde; gıda üretiminin her aşamasında görev yapan, vekil tayin edilemeyen sürekli bir gıda mühendisi veya diyetisyen mevcut mudur?</t>
  </si>
  <si>
    <t>Mutfaklarda; hazır köfte, hazır çorba, glikoz şurubu veya fast-food tipi dondurulmuş ürünlerin kullanımı engellenmiş midir?</t>
  </si>
  <si>
    <t>İşletme personeli ve hizmet alımı çalışanlarının kimlik bilgileri, 1774 sayılı Kanun uyarınca ilgili mercilere ve İl Müdürlüğüne düzenli bildirilmiş mi?</t>
  </si>
  <si>
    <t>Genel ilaçlama dönemlerinde işletme alanları için metrekare bazlı hesaplanan ilaçlama bedellerinin işletici tarafından ödenmesi sağlanmış mıdır?</t>
  </si>
  <si>
    <t>İşletme personelinin SGK İcmal Listesi ile Aylık Ücret Bordroları arasında tam bir uyum olduğu ve tüm çalışanların bordroda yer aldığı görülmüş müdür?</t>
  </si>
  <si>
    <t>Yurt binalarına yaya ve araç giriş-çıkışları; "Kurum Kimlik ve Giriş Kartları Talimatı" hükümlerine uygun olarak devamlı kontrol edilmekte midir?</t>
  </si>
  <si>
    <t>Lokanta ve kantinlerde; öğrencilerin sağlıklı beslenmesini sağlayacak çeşitlilikte, hijyenik ve besin değeri yüksek ürünler sunulmakta mıdır?</t>
  </si>
  <si>
    <t>Kantinlerde satışa sunulan ürünlerin, Bakanlık talimatlarına uygun olarak ülke genelinde bilinen ve tanınan markalardan seçildiği görülmüş müdür?</t>
  </si>
  <si>
    <t>Sözleşme dışı kullanılan her bir elektrikli araç için Genel Müdürlük izni alınmış ve aylık %3 ek zaruri masraf (ZMK) tahsil edilmiş midir?</t>
  </si>
  <si>
    <t>Yurt müdür yardımcısı veya diğer personelin yurtta konaklaması durumunda; "Konaklama Usul ve Esasları" uyarınca günlük yatak ücreti tahsil ediliyor mu?</t>
  </si>
  <si>
    <t>Misafir öğrencilerin; yurt kaydı açılmadan ve konaklama ücreti yatırılmadan yurtlarda barındırılması engellenmiş midir?</t>
  </si>
  <si>
    <t>Misafir öğrencilerin yurda giriş-çıkışlarında parmak izi okuma sistemini kullanmaları sağlanarak sağlıklı takip yapılmakta mıdır?</t>
  </si>
  <si>
    <t>Yurt kaydı bulunmayan veya misafir öğrenci statüsünde olmayan kişilerin sabah/akşam yemek yardımından usulsüz yararlanması engellenmiş midir?</t>
  </si>
  <si>
    <t>Öğrenci menünün tamamını almadığında; parmak izi sistemine tüm yardım tutarı yerine sadece alınan ürünlerin bedeli mi girilmektedir?</t>
  </si>
  <si>
    <t>İşleticilerin, az miktarda ürün alan (su, çorba vb.) öğrencilere beslenme yardımının tamamı üzerinden parmak bastırdığı görülmüş müdür?</t>
  </si>
  <si>
    <t>"Küçük İşletmeler Kontrol Formu" (Ek-5) nöbetçi personelce her gün düzenli olarak doldurulup yurt müdürünce onaylanmakta mıdır?</t>
  </si>
  <si>
    <t>Ayda en az iki kez yapılan komisyon denetimleri sonucunda saptanan eksiklikler, işleticiye yazılı olarak tebliğ edilmekte midir?</t>
  </si>
  <si>
    <t>Aylık zaruri masraf (ZMK) tutarları; hesaplanmasını takip eden 3 iş günü içinde işleticiye bildirilip 7. iş gününe kadar tahsil ediliyor mu?</t>
  </si>
  <si>
    <t>Zaruri masraf ödemelerini geciktirmeyi alışkanlık haline getiren işleticilere; ihtar ve teminatın %10'u oranında para cezası uygulanmış mıdır?</t>
  </si>
  <si>
    <t>Kantin ürünleri; toptan fatura bedeline (iskonto düşüldükten sonra) en fazla %15 kar marjı eklenerek mi satışa sunulmaktadır?</t>
  </si>
  <si>
    <t>Sebze ve meyve satışlarında, fatura bedeli üzerine %20 kar haddinin aşılmadığı ve piyasa fiyatlarına uygunluk denetlendi mi?</t>
  </si>
  <si>
    <t>Kaydı silinen öğrencilerden ve misafirlerden alınan tanıtma kartları, aylık periyotlarla komisyon marifetiyle usulüne uygun imha ediliyor mu?</t>
  </si>
  <si>
    <t>Kimlik imha tutanaklarında; öğrenci bilgileri, kart seri numarası ve kayıt silinme tarihi gibi zorunlu bilgiler eksiksiz yer almakta mıdır?</t>
  </si>
  <si>
    <t>Hasta veya yaralı öğrencilerin sağlık kuruluşuna sevklerinde "Hasta/Yaralı Sevk Formu" (Ek-2) düzenlenerek nöbet defterine kayıt düşülmüş müdür?</t>
  </si>
  <si>
    <t>İşletmelerce kullanılan et ürünlerinin; veteriner hekim kontrollü kesildiğini gösteren menşei belgeleri ve uygunluk raporları alım bazlı dosyalanmış mı?</t>
  </si>
  <si>
    <t>Yurt personelinin görev mahiyeti ve dönemsellik ilkeleri gözetilerek hazırlanan yazılı iş bölümü çizelgeleri ilgililere tebliğ edilmiş midir?</t>
  </si>
  <si>
    <t>Yurt binası, eklentileri ve açık alanlarında hayvan beslenmesine izin verilmemesi kuralına riayet edilmekte midir?</t>
  </si>
  <si>
    <t>Binanın kapalı alanlarında ve özellikle yangın merdivenlerinde sigara içilmesi kesin olarak engellenmiş midir?</t>
  </si>
  <si>
    <t>Et ürünleri alımlarında; etlerin uygunluk raporları ile birlikte dezenfeksiyon belgelerinin idareye sunulduğu saptanmış mıdır?</t>
  </si>
  <si>
    <t>Yurt binaları; oda yapısı, banyo-WC donatıları ve bina giriş rampaları bakımından engelli erişilebilirliğine uygun hale getirilmiş midir?</t>
  </si>
  <si>
    <t>Engelli odaları sadece bu statüdeki öğrencilere mi tahsis edilmektedir? (Normal öğrencilere verilmediği görülmüş müdür?)</t>
  </si>
  <si>
    <t>Yurt giriş-çıkışlarında; bavul, valiz ve çantaların el detektörü ile öğrenciyi rencide etmeyecek şekilde aranması sağlanmakta mıdır?</t>
  </si>
  <si>
    <t>Yurt bahçesi ve depolarda bulunan atıl/hurda malzemelerin, mevzuata uygun şekilde tasfiyesi yapılarak alan işgali önlenmiş midir?</t>
  </si>
  <si>
    <t>Yangın çıkışlarına; başka bir kullanıcının odasından veya mekanından geçmek zorunda kalınmaksızın doğrudan erişim sağlanıyor mu?</t>
  </si>
  <si>
    <t>Kaçış yollarında geçişi engelleyen; kapı, gıda malzemesi veya eşya gibi unsurların bulunmadığı tespit edilmiş midir?</t>
  </si>
  <si>
    <t>Kazan dairesinde bulunan arabalı yangın söndürme cihazlarının TS EN 1866 kalite belgesine sahip olduğu saptanmış mıdır?</t>
  </si>
  <si>
    <t>Ana elektrik panosu; kazan dairesi dışında, acil durumlarda kolayca ulaşılabilecek güvenli bir noktada mı yer almaktadır?</t>
  </si>
  <si>
    <t>Öğrenci odalarında; yangın riski oluşturan su ısıtıcısı, ocak ve benzeri ısıtma/pişirme cihazlarının kullanımı engellenmiş midir?</t>
  </si>
  <si>
    <t>Konferans salonu ve benzeri amaçlı mekanların, depo (nevresim odası vb.) gibi asli amacı dışında kullanılması engellenmiş midir?</t>
  </si>
  <si>
    <t>Kaçış yolları ve yangın merdivenleri, binanın kullanımda olduğu tüm zamanlarda yeterli ve sürekli bir aydınlatmaya sahip midir?</t>
  </si>
  <si>
    <t>Yangın algılama sistemine ait kablo ve hatlar; kopukluk, kısa devre ve toprak kaçağına karşı sürekli denetim altında tutulmakta mıdır?</t>
  </si>
  <si>
    <t>Öğrenci nevresim takımları en geç 7 günde bir değiştirilmekte ve bu işlemler "Nevresim Değişim Çizelgesi" ile takip edilmekte midir?</t>
  </si>
  <si>
    <t>Yurt bahçesi ve blok çevresindeki aydınlatma sistemleri, çevre güvenliğini sağlayacak şekilde en üst seviyede ve aktif tutuluyor mu?</t>
  </si>
  <si>
    <t>Öğrenci kayıt dosyalarında; adli sicil, vasi izin belgesi, taahhütname ve sağlık raporu gibi zorunlu belgeler eksiksiz yer alıyor mu?</t>
  </si>
  <si>
    <t>Öncelikli kayıt hakkından yararlanan öğrencilerin (engelli, şehit/gazi yakını vb.) durumlarını kanıtlayıcı güncel belgeleri dosyalanmış mıdır?</t>
  </si>
  <si>
    <t>Öğrencilerin kullanımına sunulan yatak ve dolaplar, KYKNET sistemiyle uyumlu olacak şekilde aynı numara ile numaralandırılmış mıdır?</t>
  </si>
  <si>
    <t>Güvenlik görevlisi kontrol sistemleri (devriye takip sistemi vb.) aktif mi? Sistem çıktıları nöbetçi personelce düzenli kontrol ediliyor mu?</t>
  </si>
  <si>
    <t>Her disiplin vakası için; inceleme raporu, kurul kararı ve eklerini içeren müstakil bir "Disiplin İşlem Dosyası" oluşturulmuş mudur?</t>
  </si>
  <si>
    <t>Öğrencilere verilen kınama ve süresiz çıkarma cezaları; öğrencinin ailesine ve öğretim kurumuna yurt müdürlüğünce yazılı olarak bildirilmiş mi?</t>
  </si>
  <si>
    <t>Onaylanan disiplin kurulu kararları, usulüne uygun şekilde "Disiplin Kurulu Karar Defteri"ne (Ek-12) işlenmiş veya kaydedilmiş midir?</t>
  </si>
  <si>
    <t>Ön protokol ile kiralanan binalarda; kazan ve basınçlı kapların periyodik kontrol bedelleri mülk sahibi tarafından mı karşılanmaktadır?</t>
  </si>
  <si>
    <t>Mülk sahibinin sorumluluğunda olan "kazan dairesi bakım onarım" giderlerinin, usulsüz şekilde İl Müdürlüğü bütçesinden ödendiği görülmüş müdür?</t>
  </si>
  <si>
    <t>Fazla çalışma ücreti; personelin kadrosuna ait görevini normal mesai saatleri dışında "fiilen" yapması şartıyla mı ödenmektedir?</t>
  </si>
  <si>
    <t>Nöbet hizmetine dahil olmayan ve mevzuatta sayılmayan unvanlardaki personele usulsüz fazla çalışma ücreti ödenmesi engellenmiş midir?</t>
  </si>
  <si>
    <t>Fiilen fazla çalışma yapmadığı halde ödeme alan personelden ve bu çizelgeyi onaylayan yöneticiden ödemeler bir katı fazlasıyla tahsil edilmiş mi?</t>
  </si>
  <si>
    <t>2464 sayılı Kanun uyarınca muaf olunan "Çevre Temizlik Vergisi" ve "Evsel Katı Atık Bedeli" ödemelerinin su faturaları üzerinden bütçeden karşılanması engellenmiş midir?</t>
  </si>
  <si>
    <t>Ön protokol gereği mülk sahibince yapılması gereken bakım-onarım işleri, firma nam ve hesabına yaptırılarak kira bedelinden mahsup ediliyor mu?</t>
  </si>
  <si>
    <t>Mülk sahibinin yapması gereken tamiratların İl Müdürlüğü bütçesinden karşılanması sonucu oluşan kamu zararının takibi ve tahsili yapılmış mıdır?</t>
  </si>
  <si>
    <t>Kiralanan binaların alt katlarında yer alan dükkânların, yurt hizmetiyle bağdaşmayan ve öğrencileri olumsuz etkileyen ticari faaliyetleri için tahliye süreci başlatılmış mıdır?</t>
  </si>
  <si>
    <t>Kira başlangıç tarihinden itibaren bir yıllık kullanım süresi dolmadan, mevzuata aykırı şekilde kira bedelinde artış (zam) yapılmış mıdır?</t>
  </si>
  <si>
    <t>Kira artış oranları belirlenirken; dönemin mevzuatına göre (Yİ-ÜFE veya TÜFE 12 aylık ortalama) yasal limitlerin aşılmadığı kontrol edilmiş midir?</t>
  </si>
  <si>
    <t>Kira artış oranlarındaki hatalı hesaplamalar nedeniyle mülk sahiplerine yapılan fazla ödemelerin tespiti ve iadesi sağlanmış mıdır?</t>
  </si>
  <si>
    <t>YURT</t>
  </si>
  <si>
    <t>Gençlik merkezinin en uygun yerinde; büst, bayrak, hitabe ve İstiklal Marşı'nı içeren bir "Atatürk Köşesi" mevzuata uygun şekilde oluşturulmuş mudur?</t>
  </si>
  <si>
    <t>Üyelere, merkeze giriş-çıkışların kontrolünü ve takibini kolaylaştıracak fotoğraflı "Gençlik Merkezi Üye Kimlik Kartı" verilmekte midir?</t>
  </si>
  <si>
    <t>Eğitim, sosyal ve kültürel faaliyetlere ilişkin mal ve hizmet alımları; yetkili olan Destek Hizmetleri Birimi aracılığıyla mı gerçekleştirilmektedir?</t>
  </si>
  <si>
    <t>Görev ücreti ödemeleri; personelin asli mesai görevleri haricinde, fiilen yürüttüğü faaliyetler için mi gerçekleştirilmektedir?</t>
  </si>
  <si>
    <t>Görevlendirmelerde; Bakanlar Kurulu Kararı ekli tablolarında yer almayan (Denetmen vb.) norm dışı unvanlar kullanılmış mıdır?</t>
  </si>
  <si>
    <t>"Benzeri ve diğer personel" tanımına giren unvanlar için Genel Müdürlük makamından onay alınmış mıdır?</t>
  </si>
  <si>
    <t>Gençlik Merkezi Müdürlerine; asli görevleri olan "planlama, yönetim ve denetim" faaliyetleri için ayrıca görev ücreti ödenmekte midir?</t>
  </si>
  <si>
    <t>Herhangi bir eğitici/öğretici faaliyette bulunmayan idarecilerin, kendi düzenledikleri tek imzalı çizelgelerle ücret almaları saptanmış mıdır?</t>
  </si>
  <si>
    <t>Öğle arası (12:00-13:00) dinlenme saatlerinde yapılan denetimlerin, hayatın olağan akışına aykırı şekilde "sürekli" olarak ücretlendirilmesi engellenmiş midir?</t>
  </si>
  <si>
    <t>Ödeme emri ekindeki "Çeşitli Ödemeler Bordrosu" ile fiili faaliyet raporlarının (eğitici/öğretici bazlı) uyumu kontrol edilmiş midir?</t>
  </si>
  <si>
    <t>Mal ve hizmet alımı süreçlerinde, harcama talimatı verilmeden önce bütçede "kullanılabilir ödenek" kontrolü yapılmakta mıdır?</t>
  </si>
  <si>
    <t>Ödeneksiz harcama yapılamayacağı ilkesine aykırı olarak, alım gerçekleştikten sonra ödenek talep edilmesi uygulamasına rastlanmış mıdır?</t>
  </si>
  <si>
    <t>Harcama talimatlarında; hizmet gerekçesi, tutar, süre, kullanılabilir ödenek ve gerçekleştirme usulü bilgileri eksiksiz yer alıyor mu?</t>
  </si>
  <si>
    <t>Kamu kaynaklarının etkili, ekonomik ve verimli kullanımı ilkesi uyarınca, konaklama hizmetlerinde öncelikle Bakanlık tesisleri mi tercih ediliyor?</t>
  </si>
  <si>
    <t>Genel Müdürlük talimatlarında yer alan "en az dört yıldızlı otel" şartı, piyasa rayiçleri ve tasarruf ilkeleri çerçevesinde sorgulanmış mıdır?</t>
  </si>
  <si>
    <t>Proje bitiminde hazırlanan "Sonuç Raporları" ve hak ediş evrakları, ödenek aktarımı öncesinde usulüne uygun şekilde dosyalanmakta mıdır?</t>
  </si>
  <si>
    <t>Harcama yetkilileri, talimatların bütçe ilke ve esasları ile yürürlükteki mevzuata uygunluğunu titizlikle denetlemekte midir?</t>
  </si>
  <si>
    <t>Sosyal ve kültürel faaliyet giderleri, faaliyetin gerçekleştiği mali yıl bütçesinden ve zamanında mı karşılanmaktadır?</t>
  </si>
  <si>
    <t>"Biz Anadoluyuz" projesi kapsamında seyahat eden genç, mihmandar ve gönüllülerin tamamı için "Yurtiçi Seyahat Sağlık Sigortası" yaptırılmış mıdır?</t>
  </si>
  <si>
    <t>Seyahat sağlık sigortasına ilişkin poliçeler, faaliyet dosyasında ve ödeme emri belgesi ekinde tevsik edici belge olarak bulunmakta mıdır?</t>
  </si>
  <si>
    <t>Gönüllü gençlik liderlerinin çağırıldıkları faaliyetlere katılım durumları, merkez müdürlüğünce tutanak veya raporla düzenli takip ediliyor mu?</t>
  </si>
  <si>
    <t>Peş peşe 3 faaliyete katılmadığı saptanan liderlerin belgelerinin iptali için Genel Müdürlüğe gerekli bildirimler süresinde yapılmış mıdır?</t>
  </si>
  <si>
    <t>Gençlik liderlerinin yıllık performansları; Aralık ayının ilk haftasında "Gençlik Liderleri Değerlendirme Formu" (Ek-4) ile puanlanmakta mıdır?</t>
  </si>
  <si>
    <t>Performans notu 70 puanın altında kalan gençlik liderlerinin belgelerinin iptali ve görevlerine son verilmesi işlemleri tesis edilmiş midir?</t>
  </si>
  <si>
    <t>GENÇLİK</t>
  </si>
  <si>
    <t>Personele ödenen görev ücretleri ile maaş ödemeleri, gelir vergisi açısından kümülatif matrah esas alınarak birlikte vergilendirilmekte midir?</t>
  </si>
  <si>
    <t>Görev ücreti ödemelerinde, matrah artışına bağlı olarak %20 veya %27 gibi artan oranlı vergi dilimlerinin uygulanıp uygulanmadığı kontrol edilmiş midir?</t>
  </si>
  <si>
    <t>Personelin başka bir kurumdan veya faaliyetten elde ettiği brüt ücret gelirlerinin kümülatif matrah hesabına dahil edildiği görülmüş müdür?</t>
  </si>
  <si>
    <t>Alınan mal ve hizmetlerin (taşımacılık, bakım-onarım vb.) KDV tevkifat oranlarının (2/10, 5/10, 9/10) tebliğe uygunluğu denetlenmekte midir?</t>
  </si>
  <si>
    <t>5018 sayılı Kanun kapsamındaki hizmet ifalarında, KDV mükelleflerine yapılan ödemelerde 5/10 oranında tevkifat uygulamasına riayet ediliyor mu?</t>
  </si>
  <si>
    <t>Mali yılın son günü itibarıyla; kasa, vezne ve ambardaki değerli kağıtlar ile teminat mektupları sayım kurulu tarafından sayılmakta mıdır?</t>
  </si>
  <si>
    <t>Yıl sonu sayımları neticesinde "Değerli Kağıtlar Sayım Tutanağı" (Örnek:49/D) üç nüsha olarak düzenlenip muhafaza edilmekte midir?</t>
  </si>
  <si>
    <t>Büro makineleri, cihazlar ve mobilya gibi demirbaş niteliğindeki varlıklar, doğrudan "630-Giderler" hesabı yerine ilgili taşınır kodlarına (253, 255 vb.) kaydedilmekte midir?</t>
  </si>
  <si>
    <t>150-İlk Madde ve Malzemeler hesabına kaydedilmesi gereken tüketim malzemelerinin, muhasebe kayıtlarında doğrudan giderleştirilmesi engellenmiş midir?</t>
  </si>
  <si>
    <t>Kullanım ömrünü tamamlayarak hurdaya ayrılan maddi duran varlıklar için "294-Elden Çıkarılacak Stoklar ve Varlıklar Hesabı"na aktarım kaydı yapılmış mıdır?</t>
  </si>
  <si>
    <t>294 nolu hesapta izlenen ve elden çıkarılmasına karar verilen varlıkların tasfiyesi için gerekli mali ve idari işlemler yürütülmekte midir?</t>
  </si>
  <si>
    <t>İşin kabulü veya garanti bitiminden itibaren iki yıl içinde geri alınmayan ihale teminatları, "330-Alınan Depozito ve Teminatlar" hesabından çıkarılarak bütçeye gelir kaydedilmiş mi?</t>
  </si>
  <si>
    <t>Mali yılı izleyen beşinci yılın sonuna kadar talep edilmeyen emanet hesaplarındaki tutarlar, zamanaşımı hükümleri gereği bütçeye gelir olarak aktarılmış mıdır?</t>
  </si>
  <si>
    <t>Mizan kayıtlarında yer alan ve beş yılı aşan "333-Emanetler" hesabındaki bakiyelerin kamu idareleri lehine düşürülmesi işlemleri tesis edilmiş midir?</t>
  </si>
  <si>
    <t>Sportif faaliyetler için mutemetlere verilen avanslar, faaliyet bitiminden itibaren en geç üç gün içinde kapatılmakta mıdır?</t>
  </si>
  <si>
    <t>Süresinde kapatılmayan avanslar için mahsup işlemleri sırasında yasal faiz hesaplanarak tahsilatı yapılmakta mıdır?</t>
  </si>
  <si>
    <t>Mutemet avans ödemelerinde; damga vergisi kesintisi avansın verildiği anda mı yoksa mahsup aşamasında mı gerçekleştirilmektedir?</t>
  </si>
  <si>
    <t>Görev ücreti ve harcırah ödemelerinde damga vergisi, mevzuata uygun şekilde binde 7,59 oranı üzerinden mi hesaplanmaktadır?</t>
  </si>
  <si>
    <t>Sporcu harcırah ödemelerinde damga vergisi kesintisi yapılarak, brüt tutar ile net tutar arasındaki fark bordrolara yansıtılıyor mu?</t>
  </si>
  <si>
    <t>Mal ve hizmet alımlarına ilişkin damga vergisi hesaplamalarında, KDV hariç tutar üzerinden mi işlem tesis edilmektedir?</t>
  </si>
  <si>
    <t>Resmî dairelerce alınan ihale kararlarından binde 5,69 oranında "Karar Damga Vergisi" tahsil edilerek dosyasına eklenmiş midir?</t>
  </si>
  <si>
    <t>Geçici görev yolluğu bildirimleri; her görevlendirme için ayrı ayrı ve görevin bitişini müteakip makul sürede mi düzenlenmektedir?</t>
  </si>
  <si>
    <t>Farklı tarihlere ait günübirlik görevlerin, uzun süre bekletilerek toplu bir formla beyan edilmesi uygulamasına rastlanmış mıdır?</t>
  </si>
  <si>
    <t>Yurt içi geçici görevlerde konaklama bedeli ödemeleri için otel faturası/fatura yerine geçen belge aslı aranmakta mıdır?</t>
  </si>
  <si>
    <t>Konaklama belgesi (fatura) ibraz edemeyen personele, kendi düzenlediği tutanağa istinaden usulsüz ödeme yapılması engellenmiş midir?</t>
  </si>
  <si>
    <t>İşleticilere (kantin, lokanta vb.) teslim edilen ve sözleşme sonunda geri alınacak olan demirbaşlar "256-Hizmet İmtiyaz Varlıklar Hesabı"nda izleniyor mu?</t>
  </si>
  <si>
    <t>Hizmet imtiyaz sözleşmesine konu varlıkların birikmiş amortismanları, ilgili "257-Birikmiş Amortismanlar Hesabı" ile uyumlu şekilde muhasebeleştirilmiş midir?</t>
  </si>
  <si>
    <t>İdarenin borçlanmaları veya gecikme faizleri nedeniyle tahakkuk eden faiz giderleri, "630-Giderler Hesabı" altında ilgili döneminde kaydedilmiş mi?</t>
  </si>
  <si>
    <t>Kısa vadeli kaynakların değerlendirilmesinde uygulanan faiz oranları, Kamu Haznedarlığı Tebliği'nde belirtilen (TCMB ağırlıklı ortalamasına bağlı) alt limitlerin üzerinde midir?</t>
  </si>
  <si>
    <t>Sürekli görev yolluğu hesaplamalarında; değişken unsur olan kilometre bedeli, sadece memurun kendisi için gündeliğinin %5'i üzerinden mi hesaplanmaktadır?</t>
  </si>
  <si>
    <t>Naklen atanan personelin yolluk bildirimlerinde; aile fertleri ve değişken unsur hesaplamalarının noksan ödemeye yer vermeyecek şekilde doğruluğu kontrol edilmiş midir?</t>
  </si>
  <si>
    <t>Geçici görev yolluğu ödemelerinde; yevmiye sayıları, seyahat vasıtasının hareket ve varış saatleri (her 24 saat için 1 gün) dikkate alınarak mı hesaplanmaktadır?</t>
  </si>
  <si>
    <t>Organizasyonlara katılımda; fiili gidiş-dönüş tarihleri ile konaklama belgeleri uyuşmadığı halde, Olur'daki tarihlere dayanılarak fazladan yevmiye ödenmesi engellenmiş midir?</t>
  </si>
  <si>
    <t>Günübirlik görevlendirmelerde; gidiş-dönüş saatleri belirtilmediği takdirde yevmiyenin 1/3 oranında ödenmesi kuralına riayet edilmekte midir?</t>
  </si>
  <si>
    <t>Geceyi memuriyet mahalli dışında geçirmeyen personele, fiili durumun aksine "tam harcırah" ödenmesi uygulamasına rastlanmış mıdır?</t>
  </si>
  <si>
    <t>Harcırah ödemelerinde, gidip gelmeye en uygun ve mutat olan vasıta (otobüs vb.) yerine yüksek tutarlı taksi beyanları kabul ediliyor mu?</t>
  </si>
  <si>
    <t>Mutat vasıta dışındaki araç kullanımı için (taksi vb.) işin gereğine binaen harcama yetkilisinden önceden alınmış yazılı bir emir bulunmakta mıdır?</t>
  </si>
  <si>
    <t>Tedavi veya karantina süresince iaşe ve ibateleri diğer kamu kurumlarınca karşılanan personele, mükerrerliğe yol açacak şekilde yevmiye ödenmiş mi?</t>
  </si>
  <si>
    <t>Geçici görevden dönen personel, harcırah beyannamesini kanuni süresi olan "bir ay" içerisinde idareye teslim etmekte midir?</t>
  </si>
  <si>
    <t>İdareci, antrenör ve sporcuların harcırahları; mevzuatta öngörülen kadro dereceleri (2. ve 4. derece vb.) üzerinden doğru hesaplanmakta mıdır?</t>
  </si>
  <si>
    <t>Federasyon faaliyetleri ile İl Müdürlüğü faaliyetlerinin çakışması durumunda, personelin toplamda kaç seans üzerinden ödeme aldığı takip ediliyor mu?</t>
  </si>
  <si>
    <t>Federasyonlardan temin edilen seans bilgileri ile İl Müdürlüğü bordroları karşılaştırılarak, fazla ödenen görev ücretleri tespit ve tahsil ediliyor mu?</t>
  </si>
  <si>
    <t>Mutemet makbuzları; müteselsil seri numaralı olarak "Mutemet Makbuz Defteri"ne kaydedilip muhasebe yetkilisince imza karşılığı teslim ediliyor mu?</t>
  </si>
  <si>
    <t>Mutemetler tarafından bir gün içinde toplanan gelirlerin, en geç ertesi iş günü banka hesabına yatırıldığı görülmüş müdür?</t>
  </si>
  <si>
    <t>Biten makbuz koçanlarının dip koçanları geri alınarak, muhasebe biriminde usulüne uygun şekilde muhafaza ve kontrol edilmekte midir?</t>
  </si>
  <si>
    <t>Misafirhane ve eğitim merkezlerinden tahsil edilen konaklama gelirleri, tahsilatı izleyen ilk iş günü banka hesabına yatırılmakta mıdır?</t>
  </si>
  <si>
    <t>Elektrik, su, doğalgaz ve telefon faturalarının geç ödenmesi nedeniyle oluşan gecikme zammı ve faiz giderleri, sorumlularından tazmin ediliyor mu?</t>
  </si>
  <si>
    <t>Elektrik faturalarında yer alan "reaktif enerji bedeli" ödemelerinin, ek mali yük oluşturduğu kabul edilerek önüne geçilmesi için tedbir alınmış mı?</t>
  </si>
  <si>
    <t>Abonelik işlemleri için gerekli teminatlar, Bakanlık talimatı uyarınca nakdi ödeme yerine "Banka Teminat Mektubu" ile mi tesis edilmektedir?</t>
  </si>
  <si>
    <t>Kurumsal telefon hatlarının tarifeleri; konuşma süreleri ve kullanım amaçları doğrultusunda kontrol edilerek en uygun pakete geçiş yapılmış mıdır?</t>
  </si>
  <si>
    <t>Telefon faturaları üzerindeki "kullanım ücreti" aşımı, ilgili personelce denetlenerek faaliyet dışı kullanımların tespiti ve engellenmesi sağlanıyor mu?</t>
  </si>
  <si>
    <t>Resmi veya kiralık araçlarla yapılan seyahatlerde, Harcırah Kanunu'nun 31. maddesine aykırı olarak kişilere rayiç bedel üzerinden yol ücreti ödenmesi engellenmiş midir?</t>
  </si>
  <si>
    <t>Emanet hesaplarında bekletilen; kaynağı belirsiz tutarlar, idari para cezaları ve diğer gelirlerin zamanında bütçeye gelir kaydedildiği görülmüş müdür?</t>
  </si>
  <si>
    <t>Müsabaka ve faaliyetler için bastırılan biletlerin, satış öncesinde İl Müdürlüğü resmi mührü veya soğuk damgası ile mühürlendiği saptanmış mıdır?</t>
  </si>
  <si>
    <t>Bilet basım ve teslim alma tutanakları; renk, fiyat ve seri numaralarını içerecek şekilde komisyonca düzenlenip matbaacıya imzalatılmakta mıdır?</t>
  </si>
  <si>
    <t>Kullanım dışı kalan, güncelliğini yitiren veya 5 yıllık saklama süresi dolan biletlerin imhası, mevzuatta öngörülen 4 kişilik komisyon marifetiyle yapılıyor mu?</t>
  </si>
  <si>
    <t>Telefon faturaları ödenirken; şehirlerarası görüşmeler için resmi-özel ayrımı yapılarak kullanıcı beyanı ve amir onayı aranmakta mıdır?</t>
  </si>
  <si>
    <t>Bilet basım tutanaklarının bir örneği harcama belgesine (masraf fişi) eklenmekte, diğer örneği ise "Bilet Defteri"ne usulüne uygun yapıştırılmakta mıdır?</t>
  </si>
  <si>
    <t>İdare adına para tahsil eden tüm personelin "Muhasebe Yetkilisi Mutemedi" olarak yazılı görevlendirmesi yapılmış ve kefalete tabi tutulmuş mudur?</t>
  </si>
  <si>
    <t>Vakıf ve dernek yurtlarındaki öğrencilere yapılan beslenme ve barınma yardımlarında; fatura ekinde günlük/aylık icmal listeleri ve öğrenci imzaları aranmakta mıdır?</t>
  </si>
  <si>
    <t>Yardım yapılan kişilerin "öğrenci" statüsünde olup olmadıkları; öğrenci belgesi veya sistem kayıtları üzerinden teyit edilerek dosyasında tevsik ediliyor mu?</t>
  </si>
  <si>
    <t>Özel barınma kurumlarının denetim raporlarında tespit edilen eksiklikler hakkında kurumlara resmi bildirim/uyarı yapılmış mıdır?</t>
  </si>
  <si>
    <t>Reklam, tahsis ve kira sözleşmelerinden elde edilen gelirler üzerinden ayrıca %5 oranında "Amatör Spor Payı" hesaplanıp tahsil edilmekte midir?</t>
  </si>
  <si>
    <t>İşletme gelirleri ve sözleşmeler kapsamında yapılması gereken yasal vergi kesintileri (stopaj vb.) muhasebe kayıtlarında tam olarak gösteriliyor mu?</t>
  </si>
  <si>
    <t>Tesis reklam bedelleri, İl Reklam Komisyonu tarafından belirlenen limitler altında kalmayacak şekilde pazarlanıp zamanında tahsil ediliyor mu?</t>
  </si>
  <si>
    <t>Sözleşme süresi biten reklam afiş ve panolarının tesisten derhal kaldırılması veya sözleşmenin yasal faizli/güncel bedelle yenilenmesi sağlanmış mıdır?</t>
  </si>
  <si>
    <t>Müsabaka hasılatından ayrılan %7 oranındaki "Genel Müdürlük Payı", faaliyetten sonraki üç iş günü içinde ilgili hesaba aktarılmakta mıdır?</t>
  </si>
  <si>
    <t>İl Müdürlüğü %18'lik payının 1/3'ü emanete alınarak, yıl sonunda profesyonel takımı olmayan amatör spor kulüplerine eşit dağıtılmış mıdır?</t>
  </si>
  <si>
    <t>İntifa hakkı verilen veya Bakanlığa ait tesislerde oynanan profesyonel futbol müsabakalarından elde edilen hasılatın %7'si Genel Müdürlüğe gönderiliyor mu?</t>
  </si>
  <si>
    <t>Profesyonel futbol müsabakaları için yayıncı kuruluşlardan alınması gereken "Naklen Yayın Giriş Ücretleri" sezonluk talimatlara göre tahsil ediliyor mu?</t>
  </si>
  <si>
    <t>İlgili kulüplerden tahsil edilmesi gereken tesis kira ücretleri ile Bakanlık ve İl Müdürlüğü paylarının takibi ve tahakkuk işlemleri düzenli yapılmış mıdır?</t>
  </si>
  <si>
    <t>Taşınır Kayıt Kontrol Yetkilisi olarak görevlendirilen personele ödenen (575) puanlık "Mali Sorumluluk Zammı", görevden ayrılma durumunda kesilmekte midir?</t>
  </si>
  <si>
    <t>Kargo hizmet bedeli ödemelerinde; gönderilerin şahsi olmadığına dair açıklayıcı bilgiler ve kurumsal alıcı detayları ödeme belgesine ekleniyor mu?</t>
  </si>
  <si>
    <t>Personel maaş bordrolarında; mevzuatta öngörülmeyen yemek ücreti, dernek aidatı gibi özel borç ve kesintilere yer verilmesi engellenmiş midir?</t>
  </si>
  <si>
    <t>Tesis ve lojman gelirlerine ilişkin muhasebe işlem fişleri ekinde; ücret cetvelleri, sözleşmeler ve tesis işletme defteri örnekleri bulunmakta mıdır?</t>
  </si>
  <si>
    <t>Gelir tahsilatlarında sadece banka dekontu ile yetinilmeyip, tahakkuka esas olan tüm komisyon kararları ve dayanak belgeler dosyalanıyor mu?</t>
  </si>
  <si>
    <t>Ölüm yardımı ödemeleri; 657 sayılı Kanun uyarınca hiçbir vergi (damga vergisi dahil) ve kesintiye tabi tutulmaksızın net tutar üzerinden mi yapılıyor?</t>
  </si>
  <si>
    <t>Hizmet erbabına ödenen çocuk zamları ve yardımları, Gelir Vergisi Kanunu uyarınca vergi matrahı dışında tutulmakta mıdır?</t>
  </si>
  <si>
    <t>İşçilere ödenen ilave tediyelerden, 6772 sayılı Kanun'un 4. maddesine aykırı olarak icra kesintisi yapılması engellenmiş midir?</t>
  </si>
  <si>
    <t>Muhasebe ve gelir evrakları (Örnek No: 2, 2/A ve 5); yangın, rutubet ve hırsızlığa karşı korunaklı bir arşiv düzeninde muhafaza ediliyor mu?</t>
  </si>
  <si>
    <t>Bir takvim yılındaki hastalık izni toplamı 7 günü aşan memurların, aşan sürelere ait zam ve tazminatları %25 eksik ödenmekte midir?</t>
  </si>
  <si>
    <t>Maaş bordroları ile sıhhi izin süreleri karşılaştırılarak, yasal sınır üzerindeki rapor günleri için gerekli mali kesintiler tesis edilmiş mi?</t>
  </si>
  <si>
    <t>MUHASEBE</t>
  </si>
  <si>
    <t>Yaklaşık maliyet tespitine esas teklif veren firmalardan, ihale onayından sonraki piyasa fiyat araştırmasında da teklif alınması engellenmiş midir?</t>
  </si>
  <si>
    <t>Piyasa fiyat araştırması tutanakları, teklif mektupları ve muayene kabul komisyon belgeleri eksiksiz imzalı ve tarihli olarak düzenleniyor mu?</t>
  </si>
  <si>
    <t>Belli bir süreyi gerektiren mal teslimi, hizmet alımı veya yapım işlerinde, idarenin takdirine bırakılmaksızın "Sözleşme" imzalanmakta mıdır?</t>
  </si>
  <si>
    <t>22/d bendi kapsamında yapılan alımlarda, piyasa araştırması sonucunda parasal limitlerin aşılacağı saptandığında ihale usulüne geçiliyor mu?</t>
  </si>
  <si>
    <t>Teknik bilgi gerektiren alımlarda; konusunda uzman teknik personelce hazırlanmış ve imzalanmış "Teknik Şartnameler" dosyada yer alıyor mu?</t>
  </si>
  <si>
    <t>Satın alma sürecinin başında, ihtiyacın niteliğini ve gerekçesini belirten "İhtiyaç Talep Formları" birimlerce usulüne uygun hazırlanıyor mu?</t>
  </si>
  <si>
    <t>Doğrudan temin ve pazarlık usulü ile yapılan harcamaların yıllık toplamı, personel giderleri hariç bütçe ödeneklerinin %10'unu aşmakta mıdır?</t>
  </si>
  <si>
    <t>Doğrudan temin yoluyla yapılan yapım işlerinde yaklaşık maliyet; "Yapım İşleri İhaleleri Uygulama Yönetmeliği" usullerine göre mi hesaplanıyor?</t>
  </si>
  <si>
    <t>Alınan kesin teminat mektuplarının geçerliliği; ilgili banka veya sigorta şirketinden yazılı/elektronik ortamda teyit edilmiş midir?</t>
  </si>
  <si>
    <t>Kesin teminat mektuplarının teyit işlemleri, mevzuatta öngörülen en geç "5 iş günü" içerisinde tamamlanarak dosyasına eklenmiş mi?</t>
  </si>
  <si>
    <t>Alım süreci başlamadan önce düzenlenen Onay Belgelerinde, kullanılabilir ödenek tutarı yaklaşık maliyeti karşılayacak şekilde belirtilmiş midir?</t>
  </si>
  <si>
    <t>Muayene ve kabul komisyonları; mal alımlarında en az bir, hizmet ve yapım işlerinde ise tamamı teknik uzman/eleman olacak şekilde kurulmuş mu?</t>
  </si>
  <si>
    <t>Teknik özellikli alımlarda, teslim alınan işin niteliğine uygun uzman personel bulunmayan komisyonlarca kabul işlemi yapılması engellenmiş midir?</t>
  </si>
  <si>
    <t>2.000 TL üzerindeki ödemelerde, hak sahiplerinin vadesi geçmiş vergi borcu bulunmadığına dair güncel belge (15 gün geçerli) kontrol ediliyor mu?</t>
  </si>
  <si>
    <t>Benzer veya aynı nitelikteki mal, hizmet ve yapım işleri; parasal limitlerin altında kalmak amacıyla kısımlara bölünerek doğrudan teminle mi yapılıyor?</t>
  </si>
  <si>
    <t>Oda, büro ve ortak alanlara tahsis edilen dayanıklı taşınırlar için "Dayanıklı Taşınırlar Listesi" (Örnek: 8) düzenlenip ilgili alanlara asılmış mıdır?</t>
  </si>
  <si>
    <t>Taşınır Kayıt Yetkilileri arasındaki devirlerde; fiili sayım sonuçlarını ve varsa farkları gösteren "Ambar Devir ve Teslim Tutanağı" düzenleniyor mu?</t>
  </si>
  <si>
    <t>Taşınır kayıtları ile ambarlardaki fiili durumun uyuşup uyuşmadığı, sayım sütunları doldurularak düzenli olarak kontrol edilmekte midir?</t>
  </si>
  <si>
    <t>Giriş kaydı yapılan dayanıklı taşınırlara verilen sicil numaraları; yazma, kazıma veya etiketleme yoluyla taşınır üzerinde kalıcı hale getirilmiş mi?</t>
  </si>
  <si>
    <t>Edinme şekline bakılmaksızın (satın alma, devir vb.) tüm taşınırların giriş kayıtları "Taşınır İşlem Fişi" (TİF) düzenlenerek gerçekleştirilmekte midir?</t>
  </si>
  <si>
    <t>Diğer kamu idarelerinden bedelsiz devir yoluyla gelen taşınırlar, Yönetmelik hükümleri uyarınca giriş kaydı yapılarak envantere dahil ediliyor mu?</t>
  </si>
  <si>
    <t>Satın alınan taşınırlar için teslimatı müteakip; hesap kodları itibarıyla üçer nüsha TİF düzenlenerek muhasebe birimine bildirilmiş midir?</t>
  </si>
  <si>
    <t>Düzenlenen Taşınır İşlem Fişlerinin tarihi; dayanağını oluşturan belgenin (fatura vb.) tarihinden önceki bir tarihi taşımamakta mıdır?</t>
  </si>
  <si>
    <t>150-İlk Madde ve Malzemeler hesabındaki tüketim çıkışları, 3 aylık dönemler itibarıyla onaylı listelerle muhasebe birimine bildirilmekte midir?</t>
  </si>
  <si>
    <t>Satın alma dışı yollarla edinilen veya maddi duran varlık hesabından çıkan taşınırların TİF nüshaları, 10 gün içinde muhasebeye gönderiliyor mu?</t>
  </si>
  <si>
    <t>Ekonomik ömrünü tamamlamış veya kullanılamaz haldeki taşınırlar için uzman üyelerin de yer aldığı "Hurda Komisyonu" teşkil edilmiş midir?</t>
  </si>
  <si>
    <t>Atıl durumdaki demirbaş ve cihazlar için "Kayıttan Düşme Teklif ve Onay Tutanağı" düzenlenerek kayıtların güncelliği sağlanmakta mıdır?</t>
  </si>
  <si>
    <t>Bağış ve yardım yoluyla edinilen taşınırlar (bilardo masası vb.) teslim alındığında TİF düzenlenerek kayıtlara alınmakta mıdır?</t>
  </si>
  <si>
    <t>Kullanıma verilen dayanıklı taşınırlar için "Zimmet Fişi" (Örnek: 6/A) düzenlenmekte ve stok düşüm işlemleri eş zamanlı yapılmakta mıdır?</t>
  </si>
  <si>
    <t>Taşınır kayıt yetkililerinin görevden ayrılmalarında ve yıl sonlarında zorunlu olan "Taşınır Sayım İşlemleri" düzenli olarak tesis ediliyor mu?</t>
  </si>
  <si>
    <t>Yiyecek yardımı ödenekleri; yemek yiyen sayısı yerine, Yönetmelik gereği kurumdaki toplam "memur kadro adedi" dikkate alınarak mı aktarılıyor?</t>
  </si>
  <si>
    <t>4734 S.K. 3/e maddesi (istisna) kapsamında yapılan alımlarda, malın satıcı kurum tarafından "bizzat üretildiğine" dair belge dosyada mevcut mu?</t>
  </si>
  <si>
    <t>Akaryakıt teslimatlarında; kantar tartı fişleri (boş-dolu) dosyalanmakta ve düşük olan tartı miktarı üzerinden "Yakıt Teslim Alma Tutanağı" düzenleniyor mu?</t>
  </si>
  <si>
    <t>Taşıt kiralamalarında aylık bedel (KDV hariç); aracın kasko değerinin %2'sini (şoförlü ise asgari ücret ilaveli sınırı) aşmayacak şekilde mi belirlenmiştir?</t>
  </si>
  <si>
    <t>İlave binek veya station-wagon araç kiralamalarında; ihale öncesinde Hazine ve Maliye Bakanlığından gerekli "Uygun Görüş" yazısı alınmış mıdır?</t>
  </si>
  <si>
    <t>Personel servis hizmeti ihdası için Ulaştırma ve Altyapı Bakanlığından alınan izinler, 2 yılda bir olacak şekilde güncellenmekte midir?</t>
  </si>
  <si>
    <t>Öz mal veya kiralık araçlarda akaryakıt denetimi için "Taşıt Tanıma Sistemi" (TTS) kullanılmakta mıdır? Veresiye fişi uygulamasına son verilmiş mi?</t>
  </si>
  <si>
    <t>Balon sistemli kapalı yüzme havuzlarında, Yönetmelik gereği yeterli havalandırma sağlanarak bulaşıcı hastalık riski minimize ediliyor mu?</t>
  </si>
  <si>
    <t>22/b maddesi kapsamında yapılan kitap alımlarında; yayınevinin özel bir hakka sahip olduğunu kanıtlayan "Telif Hakkı Satış Belgesi" dosyada mevcut mu?</t>
  </si>
  <si>
    <t>Personel veya üyelere dağıtılmak üzere alınan çeşitli malzemelerin (kitap, giysi vb.) ilgililerine teslim edildiğine dair "Teslim Tutanakları" düzenlenmiş midir?</t>
  </si>
  <si>
    <t>Doğalgaz veya LPG tesisatlı kazan dairelerinde, sızıntıları algılayacak "Gaz Algılama Cihazları" ve alarm sistemleri faal durumda mıdır?</t>
  </si>
  <si>
    <t>DESTEK</t>
  </si>
  <si>
    <t>Tahsis Ücret Cetvellerinde; mevsimsel fiyatlandırmaya esas olan "yaz" ve "kış" dönemi başlangıç-bitiş ayları açıkça belirtilmiş midir?</t>
  </si>
  <si>
    <t>Tesis tahsis saatleri ve kullanım süreleri, her bir tesis için ayrı tutulan "Tesis İşletme Defteri"ne düzenli olarak kaydedilmekte midir?</t>
  </si>
  <si>
    <t>Tahsis bedeli ve teminatı yatırılmadan veya sözleşme imzalanmadan tesis kullanımına izin verilmesi uygulamasına rastlanmış mıdır?</t>
  </si>
  <si>
    <t>Tahsis bedelleri hesaplanırken; %5 pay, %18 KDV ve binde 9,48 sözleşme damga vergisi tam ve doğru şekilde tahakkuk ettiriliyor mu?</t>
  </si>
  <si>
    <t>Ücretli tahsislerde, olası hasarları karşılamak üzere toplam bedelin %6'sı oranında teminat alınarak emanet hesabına kaydedilmiş mi?</t>
  </si>
  <si>
    <t>Faaliyetlerin bitiminde "Hasar Tespit Tutanağı" düzenlenerek; varsa oluşan zararın alınan teminattan mahsubu yoluna gidiliyor mu?</t>
  </si>
  <si>
    <t>Her bir tesis için; sicil kartı, iskan, tapu, proje ve tesisat şemalarını içeren kapsamlı bir "Tesis Dosyası" oluşturulmuş mudur?</t>
  </si>
  <si>
    <t>Lojman tahsisleri; Kamu Konutları Yönetmeliği ekindeki (4) sayılı puanlama cetveli esas alınarak komisyon marifetiyle mi yapılmaktadır?</t>
  </si>
  <si>
    <t>Herhangi bir nedenle boşalan lojmanların, en geç 30 gün içinde yeni hak sahiplerine tahsisi için gerekli duyuru ve işlemler tesis ediliyor mu?</t>
  </si>
  <si>
    <t>Konut tahsis talebinde bulunan personelin beyannameleri (Ek-5), güncel mal bildirimleri ile karşılaştırılarak doğrulanmakta mıdır?</t>
  </si>
  <si>
    <t>Her yıl Ocak ayı içinde; geçerli beyannamelere göre puanların hesaplandığı ve ilan edildiği bir "Lojman Sıra Cetveli" düzenleniyor mu?</t>
  </si>
  <si>
    <t>Konut teslimlerinde; demirbaş listesini de içeren "Kamu Konutları Giriş Tutanağı" (Ek-6) düzenlenerek bir nüshası tahsis dosyasında muhafaza ediliyor mu?</t>
  </si>
  <si>
    <t>Lojman tahsis işlemlerini yürütmek üzere, yetkili makam onayı ile belirlenmiş üç asil ve iki yedek üyeden oluşan "Konut Tahsis Komisyonu" kurulmuş mudur?</t>
  </si>
  <si>
    <t>Komisyon kararları; üye tam sayısı ile toplanılarak mı alınmakta ve bu kararlar usulüne uygun tutulan bir "Karar Defteri"ne işlenmekte midir?</t>
  </si>
  <si>
    <t>Görev tahsisli konutta oturanların görevi sona erdiğinde, konutun 2 ay içinde tahliyesi ve aksi durumda "İşgaliye Bedeli" takibi yapılıyor mu?</t>
  </si>
  <si>
    <t>Deprem dayanıklılık analizi neticesinde güçlendirilmesi veya boşaltılması kararı alınan lojman binaları için gerekli işlemler başlatılmış mıdır?</t>
  </si>
  <si>
    <t>Deprem yönetmeliğine aykırı olduğu ve yıkılması gerektiği Genel Müdürlükçe bildirilen tesislerin kullanımı derhal durdurulmuş mudur?</t>
  </si>
  <si>
    <t>Teknik raporla riskli olduğu belirtilen stadyum ve tesislerde, resmi "Riskli Yapı Tespiti" yaptırılmadan yatırım harcaması yapılması engellenmiş midir?</t>
  </si>
  <si>
    <t>Hizmet araçları; 237 sayılı Taşıt Kanunu ve Tasarruf Genelgelerine aykırı olarak şahıs veya şube müdürlüğü adına tahsis edilmekte midir?</t>
  </si>
  <si>
    <t>Taşıt görev emirleri; gidilecek yer, personel ve km bilgileri eksiksiz doldurularak, yetkili makam onayıyla ve koçan disiplinine uygun düzenleniyor mu?</t>
  </si>
  <si>
    <t>Kiralanan yurt binaları için yıllık kira artışları, sözleşme hükümleri ve güncel yasal tavan oranları gözetilerek doğru hesaplanmakta mıdır?</t>
  </si>
  <si>
    <t>Taşınmaz gelirlerinde; yıllık bedel artışları güncel mevzuat uyarınca (TÜFE - 12 aylık ortalama) hesaplanarak eksik tahsilatın önüne geçilmiş midir?</t>
  </si>
  <si>
    <t>Sezonluk kiralanan stadyum ve sahaların kira bedelleri düzenli tahsil edilmekte ve borcunu ödemeyen kulüpler hakkında hukuki süreç işletilmekte midir?</t>
  </si>
  <si>
    <t>Müstecirler tarafından geç yapılan taksit ödemeleri için sözleşme hükümleri uyarınca gecikme faizi hesaplanıp tahsilatı yapılıyor mu?</t>
  </si>
  <si>
    <t>Tahmin edilen kira bedeli belirlenirken; dayanakların (oda, borsa, bilirkişi verileri vb.) yer aldığı bir "Hesap Tutanağı" dosyaya eklenmiş midir?</t>
  </si>
  <si>
    <t>Kira bedeli artışlarında; artan tutar üzerinden "kalan kira süresi" dikkate alınarak nispi damga vergisi (binde 1,89) doğru hesaplanmakta mıdır?</t>
  </si>
  <si>
    <t>Yenilenen kira sözleşmelerinde veya bedel artışlarında, stopaj dahil brüt tutarlar üzerinden vergi hesaplanarak eksik ödemenin önüne geçilmiş mi?</t>
  </si>
  <si>
    <t>İhale işlem dosyalarında; tip şartnameler esas alınarak hazırlanan "İdari Şartname" ve teknik şartnameler eksiksiz olarak bulunmakta mıdır?</t>
  </si>
  <si>
    <t>İhale üzerinde bırakılan istekli, yasal süreler içerisinde kesin teminatını sunmak ve sözleşmeyi imzalamak üzere usulüne uygun davet ediliyor mu?</t>
  </si>
  <si>
    <t>İş artışı yapılan ihalelerde; artış tutarı üzerinden %6 ek kesin teminat ve binde 9,48 oranında ek damga vergisi tahsil edilmekte midir?</t>
  </si>
  <si>
    <t>Yapım işlerinde; işe başlama tarihinden kesin kabule kadar tüm riskleri (deprem, yangın vb.) kapsayan "All-Risk" sigortası yaptırılıyor mu?</t>
  </si>
  <si>
    <t>Süre uzatımı veya iş artışı durumlarında, sigorta poliçesi zeyilname ile güncellenerek kapsam ve süre uyumu sağlanmakta mıdır?</t>
  </si>
  <si>
    <t>Periyodik ödemeli hizmet işlerinde; hakediş raporu ve kabul teklif belgesi düzenlenmeksizin sadece fatura ile ödeme yapılması engellenmiş mi?</t>
  </si>
  <si>
    <t>Geçici ve kesin teminat mektupları, ihale sonrası gecikmeksizin muhasebe/saymanlık birimine teslim edilerek emanet hesaplarına alınıyor mu?</t>
  </si>
  <si>
    <t>Doğrudan temin yoluyla yapılan alımlar, takip eden ayın onuna kadar EKAP üzerinden "Doğrudan Temin Kayıt Formu" ile kayıt altına alınmakta mıdır?</t>
  </si>
  <si>
    <t>22/d maddesi kapsamındaki alımlarda; alım yapılacak kişinin Kamu İhale Kurumu yasaklılar listesinde olup olmadığına dair teyit belgesi dosyada mevcut mu?</t>
  </si>
  <si>
    <t>İhale ilanlarında yer alan bilgilerin; İhale Onay Belgesi ve ihale dokümanındaki düzenlemelerle tam uyumu sağlanmakta mıdır?</t>
  </si>
  <si>
    <t>İhale komisyonu; ilan veya davet tarihini izleyen en geç üç gün içinde oluşturulup, işlem dosyasının bir örneği aynı sürede üyelere teslim ediliyor mu?</t>
  </si>
  <si>
    <t>Sözleşme imzalanmasını müteakip en geç 3 gün içinde "Yer Teslimi" yapılarak işe başlama süreci mevzuata uygun şekilde başlatılmakta mıdır?</t>
  </si>
  <si>
    <t>Yapım işlerinde; işin fen ve sanat kurallarına uygunluğunu denetlemek üzere "Yapı Denetim Görevlisi" yazılı olarak görevlendirilmiş midir?</t>
  </si>
  <si>
    <t>İdare, yüklenici ve yapı denetim görevlisi arasındaki tüm iletişim, talimat ve tespitler yazılı olarak mı yürütülmektedir?</t>
  </si>
  <si>
    <t>İş artışı veya süre uzatımı verilen işlerde; yüklenici tarafından 7 gün içinde "Revize İş Programı" sunulmuş ve idarece onaylanmış mıdır?</t>
  </si>
  <si>
    <t>Alt yükleniciler işe başlamadan önce; yüklenici ile aralarındaki sözleşmenin bir örneği onaylanmak üzere idareye sunulmakta mıdır?</t>
  </si>
  <si>
    <t>Kesin hakediş raporu düzenlenmeden önce; işin geçici kabulü yapılmış ve kesin hesap işlemleri mevzuata uygun şekilde tamamlanmış mı?</t>
  </si>
  <si>
    <t>Kesin teminat mektupları; geçici ve kesin kabul arasındaki "Teminat Süresi" (24 ay vb.) tamamen dolmadan iade edilmekte midir?</t>
  </si>
  <si>
    <t>Öngörülemeyen durumlar nedeniyle yapılan iş artışlarının; sözleşme projesi içinde kalması ve asıl işten ayrılamaz olması şartları gözetiliyor mu?</t>
  </si>
  <si>
    <t>Hakediş ödemeleri ekinde; imalatın yapıldığını ve aşamasını kanıtlayan, tarih bilgisi içeren fotoğraflar yer almakta mıdır?</t>
  </si>
  <si>
    <t>İhale komisyonunda yer alan en az iki "uzman üye"; ihale konusu işin niteliğine uygun (mühendis, mimar vb.) personelden mi seçilmiştir?</t>
  </si>
  <si>
    <t>İhale işlem dosyasının birer örneğinin, incelenmek üzere komisyon üyelerine teslim edildiğine dair "Dizi Pusulası" veya "Teslim Tutanağı" mevcut mu?</t>
  </si>
  <si>
    <t>Özel pozlu kalemlerin yaklaşık maliyetleri; proforma fatura, rayiç sorgusu veya benzeri somut dayanaklarla belgelendirilmiş midir?</t>
  </si>
  <si>
    <t>Geçici kabulde saptanan eksiklikleri süresinde gidermeyen yüklenicilere, gecikilen her gün için sözleşmedeki ceza tutarının %10'u oranında ceza kesiliyor mu?</t>
  </si>
  <si>
    <t>21/b (Pazarlık) usulü ile yapılan ihalelerde; "ivedilik" ve "öngörülemeyen olay" şartlarının oluştuğuna dair tevsik edici belgeler dosyada mevcut mu?</t>
  </si>
  <si>
    <t>Tekliflerin açılması aşamasında düzenlenen "Zarf Açma ve Belge Kontrol Tutanağı", komisyon üyelerince eksiksiz şekilde imzalanmakta mıdır?</t>
  </si>
  <si>
    <t>İade edilemeyen ve hükümsüz kalan kesin teminat mektupları, yasal süresi (2 yıl) sonunda bankasına iade edilerek dosyadan çıkarılmış mıdır?</t>
  </si>
  <si>
    <t>Teknik şartnamede yüklenici tarafından sunulması zorunlu tutulan tüm belgeler (test raporu, sertifika vb.) ihale işlem dosyasına eklenmiş mi?</t>
  </si>
  <si>
    <t>İhale kararının tüm isteklilere bildiriminden sonra, mevzuatta öngörülen (5 veya 10 günlük) yasal bekleme sürelerine uyulmadan sözleşme mi imzalanmıştır?</t>
  </si>
  <si>
    <t>İhale komisyonu asil ve yedek üyelerinin görevlendirme yazıları, ihale yetkilisinin onayıyla birlikte işlem dosyasında muhafaza ediliyor mu?</t>
  </si>
  <si>
    <t>Mal alımı muayene raporlarında; ihale dokümanındaki nitelikler ile fiili nitelikler karşılaştırılarak "uygundur/değildir" ibaresi kesin olarak belirtilmiş mi?</t>
  </si>
  <si>
    <t>Anahtar teslimi götürü bedel ihalelerde, ihale öncesi zorunlu olan "Arazi ve Zemin Etüdü" çalışmalarına dair raporlar dosya ve CD eklerinde mevcut mu?</t>
  </si>
  <si>
    <t>Teknik şartnamede öngörülen malzeme miktarları ile Muayene ve Kabul Komisyonu tutanaklarındaki miktarlar arasında tam uyum sağlanmakta mıdır?</t>
  </si>
  <si>
    <t>İhale işlem dosyaları; onay belgesinden hakedişe kadar tüm süreci kapsayacak şekilde düzenli, kronolojik ve denetime hazır halde mi tutuluyor?</t>
  </si>
  <si>
    <t>Sözleşme devri yapılan işlerde; devir sözleşmesinin noter huzurunda onaylandığına dair belge ihale işlem dosyasında yer almakta mıdır?</t>
  </si>
  <si>
    <t>Birden fazla takvim yılına sarkan (yıllara sari) yapım işleri hakedişlerinden %3 oranında gelir/kurumlar vergisi tevkifatı kesintisi yapılıyor mu?</t>
  </si>
  <si>
    <t>Teknik şartnamelerde; ulusal/uluslararası standartlar esas alınmış mı? Belirli bir marka, model veya patente yönelik kısıtlayıcı tanımlamalardan kaçınılıyor mu?</t>
  </si>
  <si>
    <t>İhale dokümanında değişiklik yapılması durumunda; zeyilname son teklif verme tarihinden en az "10 gün" önce tüm isteklilere ulaştırılmakta mıdır?</t>
  </si>
  <si>
    <t>İş artışı/eksilişi işlemleri; "öngörülemeyen durum" ve "teknik ayrılmazlık" şartları belgelendirilerek, yasal limitler (%10-%20) dahilinde mi yürütülüyor?</t>
  </si>
  <si>
    <t>Her hakediş ödemesi öncesinde; sigorta poliçesinin yürürlükte olduğuna ve primlerin ödendiğine dair belge yükleniciden alınarak dosyaya ekleniyor mu?</t>
  </si>
  <si>
    <t>Hakediş dosyalarında; metraj cetvelleri, hakediş icmali, yüklenici talep yazısı ile güncel vergi/SGK borç sorgulama belgeleri mevcut mu?</t>
  </si>
  <si>
    <t>Büyük onarım ve yapım işlerinde; yüklenicinin kullandığı elektrik, su vb. giderlerin tahsiline ilişkin sözleşmede hüküm bulunmakta mıdır?</t>
  </si>
  <si>
    <t>Yaklaşık maliyet hesap cetveline dayanak teşkil eden fiyat araştırma yazıları ve proforma faturalar işlem dosyasında muhafaza ediliyor mu?</t>
  </si>
  <si>
    <t>Pazarlık usulü (21/b) ile yapılan ihalelerde, fiyat araştırması yapılan firmalara gönderilen davet/soru yazıları kayıt altına alınmış mıdır?</t>
  </si>
  <si>
    <t>Temel ihale usulleri (Açık İhale) yerine, pazarlık usulünün süreklilik arz edecek şekilde sayıca yoğun kullanılması engellenmiş midir?</t>
  </si>
  <si>
    <t>22/d (Doğrudan Temin) alımlarında; Kamu İhale Kurumunca Büyükşehir/Diğer iller için belirlenen güncel parasal limitlere riayet ediliyor mu?</t>
  </si>
  <si>
    <t>Tesis Bilgi Dosyası (Sicil kartı, tapu, proje vb.) ile demirbaş ve işletme defterleri her bir tesis için ayrı ayrı ve güncel olarak tutulmakta mıdır?</t>
  </si>
  <si>
    <t>Yangın söndürme cihazlarının yıllık genel kontrolleri yapılıyor mu? 4. yıl sonunda hidrostatik testleri ve dolum işlemleri gerçekleştirilmiş mi?</t>
  </si>
  <si>
    <t>Söndürme cihazları; yerden en fazla 90 cm yükseklikte, kolayca erişilebilir asma halkaları ile usulüne uygun şekilde monte edilmiş midir?</t>
  </si>
  <si>
    <t>Acil çıkış levhaları; kaçış yönüne doğru, aydınlatmalı (min. 2 cd/m²) ve kapılar kaçış yönüne (dışarıya) açılacak şekilde düzenlenmiş mi?</t>
  </si>
  <si>
    <t>Asansörlerin yıllık periyodik kontrolleri A tipi muayene kuruluşuna yaptırılmakta mıdır? Kırmızı etiketli (güvensiz) asansörlerin kullanımı derhal durdurulmuş mu?</t>
  </si>
  <si>
    <t>Yangın kaçış kapıları; en az 80x200 cm ölçülerinde, eşiksiz ve standartlara uygun malzemeden mi tesis edilmiştir?</t>
  </si>
  <si>
    <t>Tesis, yurt ve gençlik merkezi binalarında; yıldırımdan korunma amacıyla "Paratoner" sistemleri kurulu ve aktif olarak çalışmakta mıdır?</t>
  </si>
  <si>
    <t>Mevcut binalar için "Türkiye Bina Deprem Yönetmeliği" kapsamında deprem performans analizleri yapılarak yapısal güvenlik raporları tanzim edilmiş mi?</t>
  </si>
  <si>
    <t>Kazan dairesi, jeneratör odası, çatı ve asansör boşluğu gibi yangın açısından kritik alanlarda yanıcı madde depolanması engellenerek düzenli temizlik yapılıyor mu?</t>
  </si>
  <si>
    <t>Yangın çıkış kapılarının önü ve arkası; acil tahliyeyi engelleyecek her türlü malzeme ve eşyadan arındırılmış halde tutuluyor mu?</t>
  </si>
  <si>
    <t>Tesis bazlı "Acil Durum Planları" hazırlanmış mı? Personel; yangın söndürme, kurtarma ve ilk yardım konularında tatbiki eğitimden geçirilmiş mi?</t>
  </si>
  <si>
    <t>Binalarda, yangınla mücadele için zorunlu olan "İtfaiye Su Alma Hattı" ve "Yangın Dolapları" faal ve erişilebilir durumda mıdır?</t>
  </si>
  <si>
    <t>Kiralık binalarda; yangın söndürme sistemlerinin periyodik test ve bakımlarının mal sahibi veya yetkilisince yapılması takip ediliyor mu?</t>
  </si>
  <si>
    <t>Acil aydınlatma, yönlendirme ve yangın algılama sistemlerinin standartlara uygun periyodik kontrol ve test kayıtları dosyalanmakta mıdır?</t>
  </si>
  <si>
    <t>Asansörlerin güvenli çalışması için yetkili servis ile "Bakım Sözleşmesi" imzalanmış mıdır? Periyodik bakımı yapılmayan asansörler hizmet dışı bırakılıyor mu?</t>
  </si>
  <si>
    <t>Kesin kabulde tespit edilen eksikliklerin giderilmesine dair "Tespit Raporu" yüklenici nam ve hesabına işlem yapılmadan önce süresinde düzenleniyor mu?</t>
  </si>
  <si>
    <t>Yapı denetim görevlisi tarafından düzenlenen "Geçici Kabul Teklif Belgesi" ve yetkili makamın "Komisyon Görevlendirme Onayı" dosyada mevcut mu?</t>
  </si>
  <si>
    <t>Tapuda kayıtlı taşınmazlar; maliyet bedeli veya rayiç değer üzerinden güncellenerek ilgili muhasebe hesaplarına doğru şekilde işlenmiş midir?</t>
  </si>
  <si>
    <t>Her bir taşınmaz için tekil bir "Taşınmaz Numarası" verilmiş mi ve her taşınmaz için bu numarayla uyumlu müstakil dosyalar tutulmakta mıdır?</t>
  </si>
  <si>
    <t>Tapu kaydı (arsa, kumluk vb.) ile fiili kullanımı (stadyum, yurt vb.) uyumsuz olan taşınmazlar için "Cins Tashih" işlemleri başlatılmış mıdır?</t>
  </si>
  <si>
    <t>250 Arazi ve Arsalar ile 252 Binalar hesapları; taşınmazların güncel nitelik ve değerlerine uygun olarak fiili durumu yansıtmaktamıdır?</t>
  </si>
  <si>
    <t>Muhasebe hesaplarında kayıtlı taşınmazlar ile "Taşınmaz İcmal Tabloları" arasında tam uyum sağlanmış mıdır?</t>
  </si>
  <si>
    <t>Şartlı tahsis edilen taşınmazlardan; tahsis süresi dolan veya amacı kalmayanların iade işlemleri 3091 sayılı Kanun çerçevesinde başlatılmış mı?</t>
  </si>
  <si>
    <t>Süresi dolan protokoller için 30 gün içinde yenileme yapılmış mıdır? Yenilenmeyen protokoller kapsamındaki taşınmazlar boş olarak teslim alınmış mı?</t>
  </si>
  <si>
    <t>Protokol gereği İl Müdürlüğüne bırakılan kullanım alanları (TOHM odaları, bürolar vb.) fiilen teslim alınarak amacına uygun kullanılmakta mıdır?</t>
  </si>
  <si>
    <t>Tahsis edilen tesislerin elektrik ve su abonelikleri yüklenici/federasyon üzerine devredilmiş mi? Faturaların doğrudan idarece ödenmesi engelleniyor mu?</t>
  </si>
  <si>
    <t>Teknik personelin arazi tazminatı ödemelerinde; "açık çalışma mahalli" tanımına uyulmakta mıdır ve faal binaların tadilat/bakım işleri bu kapsam dışında tutuluyor mu?</t>
  </si>
  <si>
    <t>İl Müdürlüğü tasarrufundaki taşınmazlarda; izinsiz ticari faaliyet yürüten veya otopark olarak kullanan üçüncü kişilere karşı tahliye ve ecrimisil süreci işletiliyor mu?</t>
  </si>
  <si>
    <t>Tahsis edilen alanlarda; protokol dışı inşa edilen ticari yapıların (restoran, düğün bahçesi vb.) tespiti yapılmış mıdır? Bu tesislerden idare payı tahsil edilmekte mi?</t>
  </si>
  <si>
    <t>Isı merkezlerinde bulunan basınçlı kapların (kazan vb.) periyodik test ve kontrolleri ilgili mühendisler veya yetkili kuruluşlarca (MMO vb.) yapılıyor mu?</t>
  </si>
  <si>
    <t>Yurt müdürlüklerinde bulunan basınçlı kapların teknik muayene sonuçları ve bakım kayıtları düzenli olarak tutulmakta mıdır?</t>
  </si>
  <si>
    <t>Protokolü feshedilen tesislerin; tüm fatura borçları ödenmiş ve tesisatı faal halde teslim alınması kuralına riayet ediliyor mu?</t>
  </si>
  <si>
    <t>Reklam pano alanları kiralama sözleşmeleri; tarih, yüklenici imzası ve ita amiri onayı yönünden eksiksiz şekilde tekemmül ettirilmiş mi?</t>
  </si>
  <si>
    <t>2886 S.K. kapsamındaki pazarlık ihalelerinde; tercih gerekçeleri ve teklif aşamaları pazarlık kararında ayrıntılı şekilde gösteriliyor mu?</t>
  </si>
  <si>
    <t>Protokol süresi dolan tesislerin (stadyum vb.) geri devrinde; bakım-onarım, demirbaş teslimi ve fatura ödeme şartları titizlikle kontrol ediliyor mu?</t>
  </si>
  <si>
    <t>Teslim alınamayan veya atıl bırakılan tesislerin devir süreçlerinde; yükümlülüklerini yerine getirmeyen kurumlara karşı rücu ve tahliye işlemleri başlatıldı mı?</t>
  </si>
  <si>
    <t>Protokol gereği tahsisli tesislere ait elektrik, su ve ısınma giderleri yüklenici/belediye tarafından ödenmiş mi? İdarece ödenen tutarlar rücu ediliyor mu?</t>
  </si>
  <si>
    <t>Tesislerde yapılan organizasyonların net hasılatından alınması gereken %7 Bakanlık payı takip edilerek tahsilatı gerçekleştirilmekte midir?</t>
  </si>
  <si>
    <t>Kamulaştırma işlemleri devam eden veya tamamlanan alanların işgal edilmesi (otopark vb.) durumunda ecrimisil ve tahliye süreci işletiliyor mu?</t>
  </si>
  <si>
    <t>Kiraya verilen alanların (büfe vb.) devir işlemlerinde, ihale şartnamesindeki sürelere uyuluyor mu? Mevzuata aykırı süre uzatımı yapılıyor mu?</t>
  </si>
  <si>
    <t>Tesislerin fiziki standartları (çatı yangın direnci, kamera sistemi, kurumsal logo, tartan zemin bakımı) mevzuata ve kurumsal kimliğe uygun mu?</t>
  </si>
  <si>
    <t>Kiraya verilen taşınmazların süresi; turistik ve enerji tesisleri hariç olmak üzere, mevzuatta öngörülen 10 yıllık üst sınırı aşmakta mıdır?</t>
  </si>
  <si>
    <t>İhale şartnamelerinde; müstecirlerden ve vekillerinden adli sicil kaydı istenilerek, Bakanlık misyonuna aykırı suç kaydı olanların elenmesi sağlanıyor mu?</t>
  </si>
  <si>
    <t>Kira süresi biten ancak tahliye edilmeyen taşınmazlarda; sözleşmedeki "günlük binde beş cezai şart" hükmü yerine hatalı olarak ecrimisil mi uygulanıyor?</t>
  </si>
  <si>
    <t>Sözleşmesi feshedilen veya süresi dolan taşınmazların fuzuli işgali durumunda; cezai şartın tahsili ile eş zamanlı olarak tahliye süreci başlatılmış mıdır?</t>
  </si>
  <si>
    <t>İş artışları; ihale öncesi sağlıklı yer incelemesi yapılmaması veya projedeki eksikliklerin giderilmesi amacıyla mı kullanılmaktadır?</t>
  </si>
  <si>
    <t>Uygulama projesi bulunan yapım işlerinde; mevzuata aykırı olarak birim fiyat teklif yerine "Anahtar Teslimi Götürü Bedel" usulü uygulanıyor mu?</t>
  </si>
  <si>
    <t>Yüklenici; yer tesliminden itibaren 10 gün içinde teknik personel bildirimini ve belgelerini (diploma, taahhütname vb.) idareye sunmuş mudur?</t>
  </si>
  <si>
    <t>Yapım işleri ihalelerine; arsa temini, mülkiyet, kamulaştırma, imar ve yapı ruhsatı işlemleri tamamen bitirildikten sonra mı çıkılmaktadır?</t>
  </si>
  <si>
    <t>YATIRIM VE İŞLETMELER</t>
  </si>
  <si>
    <t>Personel görevlendirmeleri; norm kadro sayıları, hizmet standartları ve tesis ihtiyaçları gözetilerek dengeli ve verimli şekilde yapılmış mıdır?</t>
  </si>
  <si>
    <t>Kız yurtlarında öncelikle kadın güvenlik personeli görevlendirilmesi sağlanarak; personel dağılımında liyakat ve hizmet gereklerine uyuluyor mu?</t>
  </si>
  <si>
    <t>Havuzlarda; derinlik ve m2 kriterlerine göre (her 500 m2 için min. 2 bronz) yeterli sayıda cankurtaran görevlendirilmiş midir?</t>
  </si>
  <si>
    <t>Personelin il içi görev ve yer değişikliği işlemleri; yetki aşımına yol açılmadan münhasıran "Personel ve Tahakkuk Birimi"nce mi yürütülüyor?</t>
  </si>
  <si>
    <t>Sürekli işçilerin hafta sonu ve resmi tatil çalışmaları; puantaj dışında fiili çalışmayı kanıtlayan (imza föyü, rapor vb.) belgelerle tevsik ediliyor mu?</t>
  </si>
  <si>
    <t>Fazla çalışmalarda; öncelikle İş Kanunu'nda öngörülen "Denkleştirme" ve "Serbest Zaman" uygulamaları işletilerek tasarruf sağlanmakta mıdır?</t>
  </si>
  <si>
    <t>Gençlik ve spor hizmetlerinde görevlendirilen personele ödenen "Görev Ücretleri"; asli görev dışındaki fiili çalışma saatlerini gösteren tutanaklarla tevsik ediliyor mu?</t>
  </si>
  <si>
    <t>Görevlendirme onayları; yıllık genel listeler yerine; faaliyetin yeri, zamanı ve tasarruf tedbirleri gözetilerek "program bazlı" mı alınmaktadır?</t>
  </si>
  <si>
    <t>Personel özlük dosyaları; Kamu Personeli 2 Seri No’lu Genel Tebliği'nde öngörülen 8 bölümlü tasnif yapısına ve belge düzenine uygun mu?</t>
  </si>
  <si>
    <t>Mal bildirim formları; gizlilik esasına uygun olarak, içeriği dışarıdan görülmeyecek şekilde "kapalı zarf" içerisinde ve mühürlü mü saklanıyor?</t>
  </si>
  <si>
    <t>Aile yardımı alan personelin eşlerine dair SGK tescil ve hizmet dökümleri periyodik olarak kontrol edilerek, çalışan eşler için haksız ödeme yapılması engelleniyor mu?</t>
  </si>
  <si>
    <t>İl içi ve iller arası personel görevlendirmeleri; yetki aşımına yol açılmadan, münhasıran Personel Genel Müdürlüğü onayı ve koordinesinde mi yürütülmektedir?</t>
  </si>
  <si>
    <t>Müdür unvanlı personelin il içi görev yeri tespiti; Genelge 2021/1 uyarınca Vali teklifi ve Bakan onayı ile mi gerçekleştiriliyor?</t>
  </si>
  <si>
    <t>Sürekli işçi (4/D) statüsündeki personelin, yalnızca memur kadroları için öngörülen "Şef" unvanı ile görevlendirilmesi engellenmiş midir?</t>
  </si>
  <si>
    <t>Norm kadro cetvelinde yer almayan "Birim Sorumlusu" gibi yetkisiz unvanlar üzerinden personel görevlendirmesi yapılıyor mu?</t>
  </si>
  <si>
    <t>696 Sayılı KHK (375 Sayılı KHK Geçici 23. Md.) kapsamında kadroya geçen işçiler, geçiş öncesi ihale sözleşmesindeki asıl işlerinde mi çalıştırılıyor?</t>
  </si>
  <si>
    <t>Temizlik, güvenlik veya antrenör kadrosundaki personelin; asıl görev alanları dışında "büro personeli" olarak görevlendirilmesi nedeniyle birimlerde zafiyet oluşuyor mu?</t>
  </si>
  <si>
    <t>Özel güvenlik personelinin sertifika ve kimlik kartı geçerlilik süreleri (5 yıl) takip edilerek yenileme eğitimleri zamanında yaptırılıyor mu?</t>
  </si>
  <si>
    <t>Disiplin soruşturmalarında görevlendirilen muhakkiklerin, hakkında soruşturma yapılan memurdan hiyerarşik olarak alt seviyede olmaması kuralına uyuluyor mu?</t>
  </si>
  <si>
    <t>Disiplin cezalarında, fiilin işlendiği tarihten itibaren "2 yıllık ceza verme zamanaşımı" süresi dolmadan işlemler tamamlanmakta mıdır?</t>
  </si>
  <si>
    <t>Personel; Bakanlığın gençlere yönelik vizyonu ve kurumsal kimliği ile uyumlu şekilde "Kamu Kurum ve Kuruluşlarında Çalışan Personelin Kılık ve Kıyafetine Dair Yönetmelik" hükümlerine uygun giyinmekte midir?</t>
  </si>
  <si>
    <t>Personelin niteliğini artırmaya yönelik; iş güvenliği, ilk yardım ve e-ihale gibi teknik konularda düzenli hizmet içi eğitimler veriliyor mu?</t>
  </si>
  <si>
    <t>Personel Takip Sistemi (PDKS) aktif olarak kullanılıyor mu? Mesai saatlerinde görev yerinde bulunmayan personel için yasal işlem tesis ediliyor mu?</t>
  </si>
  <si>
    <t>Sürekli işçilerin yıllık izinleri, mali yük oluşturmaması için hak kazandıkları yıl içinde kullandırılıyor mu? Birikmiş izinler için planlama yapılmış mı?</t>
  </si>
  <si>
    <t>Harcama yetkilisi, gerçekleştirme görevlisi ve muhasebe görevlisi yetkileri; mevzuata aykırı şekilde aynı kişi üzerinde mi birleşmektedir?</t>
  </si>
  <si>
    <t>Kurumdan ayrılan işçilerle; ayrılış tarihinden en az bir ay sonra, banka kanalıyla ödeme yapılarak "Yazılı İbraname" imzalatılmakta mıdır?</t>
  </si>
  <si>
    <t>375 sayılı KHK uyarınca feshedilen hizmet alımı sözleşmelerinde; yüklenici tazminatları [(Sözleşme Bedeli x 0,80) - Tamamlanan İş] x 0,05 formülüne uygun hesaplanıyor mu?</t>
  </si>
  <si>
    <t>İl Müdürlüğü ve bağlı tesislerdeki fiili personel sayıları; hizmetin aksamaması için Bakanlıkça belirlenen "Norm Kadro" sayılarına uygun düzeye getirilmiş mi?</t>
  </si>
  <si>
    <t>Havuzlarda görevli cankurtaranların sertifika geçerlilik süreleri takip ediliyor mu? Sertifikasız veya eksik personel ile havuz işletilmesine izin veriliyor mu?</t>
  </si>
  <si>
    <t>PERSONEL İŞLEMLERİ</t>
  </si>
  <si>
    <t>Kulüp, federasyon, firma ve belediyelerden olan idare alacaklarının tahsili için gerekli icra ve dava süreçleri zaman aşımına uğratılmadan başlatılmış mıdır?</t>
  </si>
  <si>
    <t>Sürekli işçi kadrosuna geçen personelin, 01.04.2018 öncesi alt işveren dönemine ait kıdem tazminatı tutarları ilgili yüklenicilere rücu ediliyor mu?</t>
  </si>
  <si>
    <t>Ödenen kıdem tazminatları sonrası "Halefiyet İlkesi" uyarınca rücuen tazmin davalarının açılmasına dair hukuk birimi ile eşgüdüm sağlanmakta mıdır?</t>
  </si>
  <si>
    <t>Aselsan A.Ş. protokolü kapsamında tesis edilen güvenlik kameralarının çalışmama veya kayıt almama sorunları Bilgi İşlem Dairesi Başkanlığına bildirilmiş mi?</t>
  </si>
  <si>
    <t>İller arası görevlendirmeler; Gençlik Hizmetleri gibi birimlerin yetki aşımıyla değil, münhasıran Personel Genel Müdürlüğü onayıyla mı yapılıyor?</t>
  </si>
  <si>
    <t>Sözleşmeli antrenörlere "sözleşme ücreti dışında ödeme yapılamaz" kuralına aykırı olan İl Spor Merkezleri Yönergesi maddesi revize edilmiş midir?</t>
  </si>
  <si>
    <t>İl Müdürlüğü idari binasında; ihale, taşınır ve yapım işlerinde görev alacak "uzman ve sabit" personel kadrosu norm kadroya uygun mu?</t>
  </si>
  <si>
    <t>Merkez birimlerce organize edilen faaliyetlerde; "ödenek gönderilmeden harcama yapılması" yönündeki talimatların mevzuata aykırılığı saptanmış mıdır?</t>
  </si>
  <si>
    <t>Harcama talimatları; bütçe ilke ve esaslarına uygun olarak, kullanılabilir ödenek ve gerçekleştirme usulü bilgilerini ihtiva ediyor mu?</t>
  </si>
  <si>
    <t>Konaklama hizmeti alımlarında; "en az dört yıldızlı otel" gibi kısıtlayıcı ve tasarruf ilkelerine aykırı olabilecek kriterlerin dayanağı mevcut mu?</t>
  </si>
  <si>
    <t>2001/2863 sayılı "Esaslar"ın, mahkeme kararları ve değişen hizmet ihtiyaçları (SEM, TOHM vb.) doğrultusunda uygulama birliği sağlamak üzere revize edilmesi için çalışma başlatılmış mıdır?</t>
  </si>
  <si>
    <t>BAKANLIĞI İLGİLENDİREN HUSUSLAR</t>
  </si>
  <si>
    <t>Mevzuat Madde</t>
  </si>
  <si>
    <t>Mevzuat/Link</t>
  </si>
  <si>
    <t>Özel Spor Tes. Yön.</t>
  </si>
  <si>
    <t>Bakanlık Makam Talimatı (2019/66)</t>
  </si>
  <si>
    <t>Antrenör Çal. Usul Yön.</t>
  </si>
  <si>
    <t>İl Spor Dalı Tems. Yön.</t>
  </si>
  <si>
    <t>Spor Kulüpleri Yön.</t>
  </si>
  <si>
    <t>Gsb Taşra Teşkilatı Yön.</t>
  </si>
  <si>
    <t>1 Sayılı CBK</t>
  </si>
  <si>
    <t>193 Sayılı Kanun</t>
  </si>
  <si>
    <t>2001/2863 BKK Esaslar</t>
  </si>
  <si>
    <t>2006/10193 Sayılı BKK</t>
  </si>
  <si>
    <t xml:space="preserve">2011/2863 BKK </t>
  </si>
  <si>
    <t>2016/10344 Sayılı BKK</t>
  </si>
  <si>
    <t>237 Sayılı Taşıt Kanunu</t>
  </si>
  <si>
    <t>2464 Sayılı Kanun</t>
  </si>
  <si>
    <t>2886 Sayılı Devlet İhale Kanunu</t>
  </si>
  <si>
    <t>2942 Sayılı Kanun</t>
  </si>
  <si>
    <t>2946 Sayılı Kanun</t>
  </si>
  <si>
    <t>30 Seri No.lu Damga Vergisi Genel Tebliği</t>
  </si>
  <si>
    <t>3091 Sayılı Kanun</t>
  </si>
  <si>
    <t>311 Seri No.lu Gelir Vergisi Tebliği</t>
  </si>
  <si>
    <t>3289 Sayılı Kanun</t>
  </si>
  <si>
    <t xml:space="preserve">375 Sayılı KHK </t>
  </si>
  <si>
    <t>4734 Sayılı Kanun</t>
  </si>
  <si>
    <t>4735 Sayılı Kanun</t>
  </si>
  <si>
    <t>4857 Sayılı Kanun</t>
  </si>
  <si>
    <t>488 Sayılı Damga Vergisi Kanunu</t>
  </si>
  <si>
    <t>5018 Sayılı Kanun</t>
  </si>
  <si>
    <t>5378 Sayılı Kanun</t>
  </si>
  <si>
    <t>6183 Sayılı Kanun</t>
  </si>
  <si>
    <t>6245 Sayılı Kanun</t>
  </si>
  <si>
    <t>6306 Sayılı Kanun</t>
  </si>
  <si>
    <t>657 Sayılı Kanun</t>
  </si>
  <si>
    <t>Asansör İşletme ve Bakım Yön.</t>
  </si>
  <si>
    <t>Bakım Onarım Talimatı</t>
  </si>
  <si>
    <t>Beslenme ve Barınma Yardımı Usul Esas.</t>
  </si>
  <si>
    <t>Bina Kiralama Genel ve Teknik Şartname</t>
  </si>
  <si>
    <t>Binaların Yangından Kor. Yön.</t>
  </si>
  <si>
    <t>Bitkisel Atık Yağların Kont. Yön.</t>
  </si>
  <si>
    <t>Borçlar Kanunu</t>
  </si>
  <si>
    <t>Devlet Arşiv Hizmetleri Yön.</t>
  </si>
  <si>
    <t>Devlet Memurları Disiplin Yön.</t>
  </si>
  <si>
    <t>Erişilebilirlik Mevzuatı</t>
  </si>
  <si>
    <t>Fazla Çalışma Uyg. Esas. Gösterir Yön.</t>
  </si>
  <si>
    <t>Gençlik Merkezleri Yön.</t>
  </si>
  <si>
    <t>GSB Yangın ve İşletme Yön.</t>
  </si>
  <si>
    <t>Genel Yönetim Muhasebe Yön.</t>
  </si>
  <si>
    <t>GSB Taşra  Bütçe ve Muhasebe Yön.</t>
  </si>
  <si>
    <t>Hasılat Dağıtım Yön.</t>
  </si>
  <si>
    <t>Hazina Taşınmazlarının İdaresi Yön.</t>
  </si>
  <si>
    <t>Hizmet İşleri Genel Şartnamesi</t>
  </si>
  <si>
    <t>İç Kontrol Standartları</t>
  </si>
  <si>
    <t>İşletme Yönetmeliği</t>
  </si>
  <si>
    <t>İşyerlerinde Acil Durumlar Yön.</t>
  </si>
  <si>
    <t>Kamu Haznedarlığı Genel Tebliği</t>
  </si>
  <si>
    <t>Kamu İdareleri Taşınmaz Kiralama Genelgesi</t>
  </si>
  <si>
    <t>Kamu İhale Genel Tebliği</t>
  </si>
  <si>
    <t>Kamu Konutları Yönetmeliği</t>
  </si>
  <si>
    <t>Kamu Kurumları Personel Servis Yön.</t>
  </si>
  <si>
    <t>Kamu Personeli 2 Sero No.lu Genel Tebliğ</t>
  </si>
  <si>
    <t>Kamu Zararlarının Tahsiline İlişkin Usul</t>
  </si>
  <si>
    <t>KDV Genel Uygulama Tebliği</t>
  </si>
  <si>
    <t>Kılık ve Kıyafet Yönetmeliği</t>
  </si>
  <si>
    <t>Küçük İşletmelere İlişkin Usul Esas.</t>
  </si>
  <si>
    <t>KYK Akaryakıt ve Yakıt Teslim Alma Talimatı</t>
  </si>
  <si>
    <t>Lokanta-Kantin İşletme Söz.</t>
  </si>
  <si>
    <t>Mal Alımı İhaleleri Uyg. Yön.</t>
  </si>
  <si>
    <t>Mal Alımları Denetim Muayene ve Kabul Yön.</t>
  </si>
  <si>
    <t>Mal Bildiriminde Bulunulması Hak. Yön.</t>
  </si>
  <si>
    <t>Merkezi Yön. Harcama Belgeleri Yön.</t>
  </si>
  <si>
    <t>Öğrenci Disiplin İşlemleri Uyg. Usul Esas</t>
  </si>
  <si>
    <t>Ön Protokol Genel ve Teknik Şartname</t>
  </si>
  <si>
    <t>Özel Güv. Hiz. Dair Kanun Uyg. Yön.</t>
  </si>
  <si>
    <t>Özel ve Gece Hizmetleri Esasları</t>
  </si>
  <si>
    <t>Resmi Yazışma Usul ve Esas</t>
  </si>
  <si>
    <t>Sağlık bak. İlk Yardım Yön.</t>
  </si>
  <si>
    <t>Belge Kontrolü</t>
  </si>
  <si>
    <t>Tahsis İşlemleri</t>
  </si>
  <si>
    <t>Tesis Tahsis İşlemleri</t>
  </si>
  <si>
    <t>Konut Tahsis İşlemleri</t>
  </si>
  <si>
    <t>Tesis</t>
  </si>
  <si>
    <t>Taşıt</t>
  </si>
  <si>
    <t>Tahsil İşlemleri</t>
  </si>
  <si>
    <t>Ödeme İşlemleri</t>
  </si>
  <si>
    <t>İhale İşlemleri</t>
  </si>
  <si>
    <t>Yangın</t>
  </si>
  <si>
    <t>Muhasebe</t>
  </si>
  <si>
    <t>Yurt</t>
  </si>
  <si>
    <t>Personel</t>
  </si>
  <si>
    <t>Kulüp</t>
  </si>
  <si>
    <t>Konaklama</t>
  </si>
  <si>
    <t>Asansör</t>
  </si>
  <si>
    <t>Binalar</t>
  </si>
  <si>
    <t>Taşınmaz Mallar</t>
  </si>
  <si>
    <t>Tesisler</t>
  </si>
  <si>
    <t>Fiziki Denetim</t>
  </si>
  <si>
    <t>Dava Süreçleri</t>
  </si>
  <si>
    <t>Kıdem Tazminatı</t>
  </si>
  <si>
    <t>Kamera</t>
  </si>
  <si>
    <t>Görevlendirmeler</t>
  </si>
  <si>
    <t>Yer Değişikliği</t>
  </si>
  <si>
    <t>Norm Kadro</t>
  </si>
  <si>
    <t>Özlük Dosyası</t>
  </si>
  <si>
    <t>Disiplin İşlemleri</t>
  </si>
  <si>
    <t>İzinler</t>
  </si>
  <si>
    <t>Hizmet Alımı</t>
  </si>
  <si>
    <t>Havuzlar</t>
  </si>
  <si>
    <t>Tahsil Makbuzu</t>
  </si>
  <si>
    <t>Vize kontrolü</t>
  </si>
  <si>
    <t>Denetim</t>
  </si>
  <si>
    <t>Değerlendirme Raporu</t>
  </si>
  <si>
    <t>Antrenör</t>
  </si>
  <si>
    <t>İl Temsilcileri</t>
  </si>
  <si>
    <t>Yardım</t>
  </si>
  <si>
    <t>Sporcu</t>
  </si>
  <si>
    <t>Hakem</t>
  </si>
  <si>
    <t>Kafile Seyahat</t>
  </si>
  <si>
    <t>Okul Sporları</t>
  </si>
  <si>
    <t>Görev Ücreti</t>
  </si>
  <si>
    <t>SEM</t>
  </si>
  <si>
    <t>Harcama Belgesi</t>
  </si>
  <si>
    <t>Yangın Tüpü</t>
  </si>
  <si>
    <t>Nöbet Odası</t>
  </si>
  <si>
    <t>Nöbet Defteri</t>
  </si>
  <si>
    <t>Kantin-Lokanta</t>
  </si>
  <si>
    <t>Öğrenci Odası</t>
  </si>
  <si>
    <t>Yurt Binası</t>
  </si>
  <si>
    <t>Yurt Çevresi</t>
  </si>
  <si>
    <t xml:space="preserve">Yangın </t>
  </si>
  <si>
    <t>Yağmurlama Sistemi</t>
  </si>
  <si>
    <t>Valiz</t>
  </si>
  <si>
    <t>Kazan Dairesi</t>
  </si>
  <si>
    <t>Engelli</t>
  </si>
  <si>
    <t>İlaçlama</t>
  </si>
  <si>
    <t>Çamaşır</t>
  </si>
  <si>
    <t xml:space="preserve">Öğrenci </t>
  </si>
  <si>
    <t>Ziyaretçi</t>
  </si>
  <si>
    <t>Güvenlik</t>
  </si>
  <si>
    <t>Dosya Kontrolü</t>
  </si>
  <si>
    <t>Fazla Çalışma Ücreti</t>
  </si>
  <si>
    <t>Gençlik Merkezi Binası</t>
  </si>
  <si>
    <t>Üyelik</t>
  </si>
  <si>
    <t>Mal ve Hizmet Alımları</t>
  </si>
  <si>
    <t>Gençlik Liderleri</t>
  </si>
  <si>
    <t>Görev Ücreti-Harcırah</t>
  </si>
  <si>
    <t>Personel Ödemesi</t>
  </si>
  <si>
    <t xml:space="preserve">KDV </t>
  </si>
  <si>
    <t>Yıl Sonu Sayımı</t>
  </si>
  <si>
    <t>Muhasebe Kaydı</t>
  </si>
  <si>
    <t>Emanet</t>
  </si>
  <si>
    <t>Avanslar</t>
  </si>
  <si>
    <t>Damga Vergisi</t>
  </si>
  <si>
    <t>Faiz</t>
  </si>
  <si>
    <t>Evrak Muhafaza-Koruma İşlemleri</t>
  </si>
  <si>
    <t>Bilet</t>
  </si>
  <si>
    <t>Kurumlara Bildirim</t>
  </si>
  <si>
    <t>Hasılat Payları</t>
  </si>
  <si>
    <t>Teknik Şartname</t>
  </si>
  <si>
    <t>İhtiyaç Talep Formları</t>
  </si>
  <si>
    <t>Doğrudan Temin</t>
  </si>
  <si>
    <t>Teminat</t>
  </si>
  <si>
    <t>Muayene Kabul İşlemleri</t>
  </si>
  <si>
    <t>Taşınır Mallar</t>
  </si>
  <si>
    <t>Hurda Komisyonu</t>
  </si>
  <si>
    <t>Kayıttan Düşme Teklif ve Onay Tutanağı</t>
  </si>
  <si>
    <t>Yardım Ödemeleri</t>
  </si>
  <si>
    <t>Yakıt Teslim Alma Tutanağı</t>
  </si>
  <si>
    <t>Telif Hakkı Satış Belgesi</t>
  </si>
  <si>
    <t>Teslim Tutanakları</t>
  </si>
  <si>
    <t>https://www.mevzuat.gov.tr/mevzuat?MevzuatNo=4191&amp;MevzuatTur=7&amp;MevzuatTertip=5</t>
  </si>
  <si>
    <t>https://sporegitim.gsb.gov.tr/Sayfalar/2878/2859/antrenorlerin-calisma-usul-ve-esaslari-yonergesi.aspx</t>
  </si>
  <si>
    <t>https://www.lexpera.com.tr/resmi-gazete/metin/genclik-ve-spor-genel-mudurlugu-il-spor-dali-temsilci-yonetmeligi-20717-2</t>
  </si>
  <si>
    <t>https://kahramanmaras.gsb.gov.tr/Public/Edit/images/IM/45/S%C4%B0C%C4%B0L%20L%C4%B0SANS%20EVRAKLARI/2020%20YEN%C4%B0%20EVRAKLAR/Spor%20Kul%C3%BCpleri%20Y%C3%B6netmel%C4%9Fi.pdf</t>
  </si>
  <si>
    <t>https://pgm.gsb.gov.tr/Public/Edit/images/PGM/012014/GSB%20Ta%C5%9Fra%20Te%C5%9Fkilat%C4%B1%20Y%C3%B6nergesi.pdf</t>
  </si>
  <si>
    <t>https://ms.hmb.gov.tr/uploads/sites/12/2021/02/1-Sayili-Cumhurbaskanligi-Kararnamesi-1.pdf</t>
  </si>
  <si>
    <t>https://www.gib.gov.tr/mevzuat/kanun/433</t>
  </si>
  <si>
    <t>https://www.mevzuat.gov.tr/mevzuat?MevzuatNo=237&amp;MevzuatTur=1&amp;MevzuatTertip=4</t>
  </si>
  <si>
    <t>https://www.mevzuat.gov.tr/mevzuat?MevzuatNo=2464&amp;MevzuatTur=1&amp;MevzuatTertip=5</t>
  </si>
  <si>
    <t>https://www.mevzuat.gov.tr/mevzuat?MevzuatNo=2886&amp;MevzuatTur=1&amp;MevzuatTertip=5</t>
  </si>
  <si>
    <t>https://www.mevzuat.gov.tr/mevzuat?MevzuatNo=2942&amp;MevzuatTur=1&amp;MevzuatTertip=5</t>
  </si>
  <si>
    <t>https://www.mevzuat.gov.tr/MevzuatMetin/1.5.2946.pdf</t>
  </si>
  <si>
    <t>https://www.lexpera.com.tr/resmi-gazete/metin/damga-vergisi-kanunu-genel-tebligi-22892-seri-no-30</t>
  </si>
  <si>
    <t>https://www.mevzuat.gov.tr/MevzuatMetin/1.5.3091.pdf</t>
  </si>
  <si>
    <t>https://www.lexpera.com.tr/resmi-gazete/metin/gelir-vergisi-genel-tebligi-31137-seri-no-311</t>
  </si>
  <si>
    <t>https://www.mevzuat.gov.tr/mevzuat?MevzuatNo=3289&amp;MevzuatTur=1&amp;MevzuatTertip=5</t>
  </si>
  <si>
    <t>https://www.mevzuat.gov.tr/mevzuat?MevzuatNo=375&amp;MevzuatTur=4&amp;MevzuatTertip=5</t>
  </si>
  <si>
    <t>https://www.mevzuat.gov.tr/mevzuat?MevzuatNo=4734&amp;MevzuatTur=1&amp;MevzuatTertip=5</t>
  </si>
  <si>
    <t>https://www.mevzuat.gov.tr/mevzuat?MevzuatNo=4735&amp;MevzuatTur=1&amp;MevzuatTertip=5</t>
  </si>
  <si>
    <t>https://www.mevzuat.gov.tr/mevzuat?MevzuatNo=4857&amp;MevzuatTur=1&amp;MevzuatTertip=5</t>
  </si>
  <si>
    <t>https://www.mevzuat.gov.tr/mevzuat?MevzuatNo=488&amp;MevzuatTur=1&amp;MevzuatTertip=5</t>
  </si>
  <si>
    <t>https://www.mevzuat.gov.tr/mevzuat?MevzuatNo=5018&amp;MevzuatTur=1&amp;MevzuatTertip=5</t>
  </si>
  <si>
    <t>https://www.mevzuat.gov.tr/mevzuat?MevzuatNo=5378&amp;MevzuatTur=1&amp;MevzuatTertip=5</t>
  </si>
  <si>
    <t>https://www.mevzuat.gov.tr/mevzuat?MevzuatNo=6183&amp;MevzuatTur=1&amp;MevzuatTertip=3</t>
  </si>
  <si>
    <t>https://www.mevzuat.gov.tr/mevzuat?MevzuatNo=6245&amp;MevzuatTur=1&amp;MevzuatTertip=3</t>
  </si>
  <si>
    <t>https://www.mevzuat.gov.tr/mevzuat?MevzuatNo=6306&amp;MevzuatTur=1&amp;MevzuatTertip=5</t>
  </si>
  <si>
    <t>https://www.mevzuat.gov.tr/mevzuat?MevzuatNo=657&amp;MevzuatTur=1&amp;MevzuatTertip=5</t>
  </si>
  <si>
    <t>https://www.mevzuat.gov.tr/mevzuat?MevzuatNo=31394&amp;MevzuatTur=7&amp;MevzuatTertip=5</t>
  </si>
  <si>
    <t>https://ozelbarinmahizmetleri.gsb.gov.tr/Sayfalar/4874/3658/beslenme-ve-barinma-yardimi-yonetmeligi.aspx</t>
  </si>
  <si>
    <t>https://www.mevzuat.gov.tr/mevzuat?MevzuatNo=200712937&amp;MevzuatTur=21&amp;MevzuatTertip=5</t>
  </si>
  <si>
    <t>https://mevzuat.gov.tr/mevzuat?MevzuatNo=20817&amp;MevzuatTur=7&amp;MevzuatTertip=5</t>
  </si>
  <si>
    <t>https://www.mevzuat.gov.tr/MevzuatMetin/1.5.6098.pdf</t>
  </si>
  <si>
    <t>https://www.mevzuat.gov.tr/mevzuat?MevzuatNo=33899&amp;MevzuatTur=7&amp;MevzuatTertip=5</t>
  </si>
  <si>
    <t>https://www.mevzuat.gov.tr/mevzuat?MevzuatNo=3935&amp;MevzuatTur=21&amp;MevzuatTertip=5</t>
  </si>
  <si>
    <t>https://www.mevzuat.gov.tr/mevzuat?MevzuatNo=18614&amp;MevzuatTur=7&amp;MevzuatTertip=5</t>
  </si>
  <si>
    <t>https://www.mevzuat.gov.tr/mevzuat?MevzuatNo=79493&amp;MevzuatTur=3&amp;MevzuatTertip=5</t>
  </si>
  <si>
    <t>https://genclikhizmetleri.gov.tr/wp-content/uploads/mevduat/genclik-merkezleri-yonetmeligi.pdf</t>
  </si>
  <si>
    <t>https://gsb.gov.tr/dist/mevzuatdosyalar2025/yonergeler/37-gsb-yangin-yonergesi-2021-birlesik.pdf</t>
  </si>
  <si>
    <t>https://mevzuat.gov.tr/mevzuat?MevzuatNo=20147052&amp;MevzuatTur=21&amp;MevzuatTertip=5</t>
  </si>
  <si>
    <t>https://www.resmigazete.gov.tr/eskiler/2007/10/20071025-5.htm</t>
  </si>
  <si>
    <t>https://www.resmigazete.gov.tr/eskiler/2025/05/20250528-4.htm</t>
  </si>
  <si>
    <t>https://www.mevzuat.gov.tr/mevzuat?MevzuatNo=11385&amp;MevzuatTur=7&amp;MevzuatTertip=5</t>
  </si>
  <si>
    <t>https://www.mevzuat.gov.tr/mevzuat?MevzuatNo=12918&amp;MevzuatTur=7&amp;MevzuatTertip=5</t>
  </si>
  <si>
    <t>https://sgb.gsb.gov.tr/Public/Edit/images/SGB/012014/Kamu%20%C4%B0%C3%A7%20Kontrol%20Standartlar%C4%B1-Bile%C5%9Fik.pdf</t>
  </si>
  <si>
    <t>https://www.mevzuat.gov.tr/mevzuat?MevzuatNo=18493&amp;MevzuatTur=7&amp;MevzuatTertip=5</t>
  </si>
  <si>
    <t>https://www.resmigazete.gov.tr/eskiler/2015/11/20151118-16.htm</t>
  </si>
  <si>
    <t>https://www.resmigazete.gov.tr/eskiler/2019/01/20190116-11.pdf</t>
  </si>
  <si>
    <t>https://www.mevzuat.gov.tr/mevzuat?MevzuatNo=13354&amp;MevzuatTur=9&amp;MevzuatTertip=5</t>
  </si>
  <si>
    <t>https://www.mevzuat.gov.tr/mevzuat?MevzuatNo=848345&amp;MevzuatTur=21&amp;MevzuatTertip=5</t>
  </si>
  <si>
    <t>https://www.mevzuat.gov.tr/mevzuat?MevzuatNo=20046801&amp;MevzuatTur=21&amp;MevzuatTertip=5</t>
  </si>
  <si>
    <t>https://www.mevzuat.gov.tr/mevzuat?MevzuatNo=14913&amp;MevzuatTur=9&amp;MevzuatTertip=5</t>
  </si>
  <si>
    <t>https://www.mevzuat.gov.tr/mevzuat?MevzuatNo=200611058&amp;MevzuatTur=21&amp;MevzuatTertip=5</t>
  </si>
  <si>
    <t>https://www.mevzuat.gov.tr/anasayfa/MevzuatFihristDetayIframe?MevzuatTur=9&amp;MevzuatNo=19631&amp;MevzuatTertip=5</t>
  </si>
  <si>
    <t>https://www.mevzuat.gov.tr/mevzuatmetin/3.5.85105.pdf</t>
  </si>
  <si>
    <t>https://kygm.gsb.gov.tr/Sayfalar/2439/2389/KucukIsletmeler</t>
  </si>
  <si>
    <t>https://www.resmigazete.gov.tr/eskiler/2005/10/20051012-20.htm</t>
  </si>
  <si>
    <t>https://www.lexpera.com.tr/ornekler/sozlesmeler/isletme-sozlesmesi-iv-lokanta-kantin-2370</t>
  </si>
  <si>
    <t>https://www.mevzuat.gov.tr/mevzuat?MevzuatNo=12917&amp;MevzuatTur=7&amp;MevzuatTertip=5</t>
  </si>
  <si>
    <t>https://www.mevzuat.gov.tr/mevzuat?MevzuatNo=4713&amp;MevzuatTur=7&amp;MevzuatTertip=5</t>
  </si>
  <si>
    <t>https://www.mevzuat.gov.tr/mevzuat?MevzuatNo=90748&amp;MevzuatTur=3&amp;MevzuatTertip=5</t>
  </si>
  <si>
    <t>https://www.mevzuat.gov.tr/mevzuat?MevzuatNo=9815&amp;MevzuatTur=7&amp;MevzuatTertip=5</t>
  </si>
  <si>
    <t>https://gsb.gov.tr/dist/mevzuatdosyalar/ogrenci-disiplin-islemleri-uygulama-usul-ve-esaslari-hakkinda-yonerge.pdf</t>
  </si>
  <si>
    <t>https://istanbul.gsb.gov.tr/Public/Edit/images/KYK/DUYURULAR/2015_OnProtokol_TeknikSartname.pdf</t>
  </si>
  <si>
    <t>https://www.mevzuat.gov.tr/mevzuat?MevzuatNo=7190&amp;MevzuatTur=7&amp;MevzuatTertip=5</t>
  </si>
  <si>
    <t>https://kygm.gsb.gov.tr/Public/Edit/images/KYGM/012014/Ozel%20ve%20Gece%20Hizmetleri%20Yonerge.pdf</t>
  </si>
  <si>
    <t>https://www.mevzuat.gov.tr/mevzuat?MevzuatNo=2646&amp;MevzuatTur=21&amp;MevzuatTertip=5</t>
  </si>
  <si>
    <t>https://www.mevzuat.gov.tr/mevzuat?MevzuatNo=20992&amp;MevzuatTur=7&amp;MevzuatTertip=5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</si>
</sst>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u/>
      <sz val="11"/>
      <color theme="10"/>
      <name val="Calibri"/>
      <family val="2"/>
      <scheme val="minor"/>
    </font>
    <font>
      <sz val="12"/>
      <name val="Times New Roman"/>
      <family val="1"/>
      <charset val="16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2" fillId="4" borderId="0" xfId="0" applyFont="1" applyFill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4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3" fillId="3" borderId="0" xfId="1" applyFill="1"/>
    <xf numFmtId="0" fontId="1" fillId="5" borderId="0" xfId="0" applyFont="1" applyFill="1" applyAlignment="1">
      <alignment wrapText="1"/>
    </xf>
    <xf numFmtId="0" fontId="4" fillId="5" borderId="0" xfId="0" applyFont="1" applyFill="1" applyAlignment="1">
      <alignment wrapText="1"/>
    </xf>
    <xf numFmtId="0" fontId="0" fillId="5" borderId="0" xfId="0" applyFill="1" applyAlignment="1">
      <alignment wrapText="1"/>
    </xf>
  </cellXfs>
  <cellStyles count="2">
    <cellStyle name="Köprü" xfId="1" builtinId="8"/>
    <cellStyle name="Normal" xfId="0" builtinId="0"/>
  </cellStyles>
  <dxfs count="1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Mevzuat Bankas&#305;'!A1"/><Relationship Id="rId2" Type="http://schemas.openxmlformats.org/officeDocument/2006/relationships/hyperlink" Target="#'Tefti&#351; Noktalar&#305;'!A1"/><Relationship Id="rId1" Type="http://schemas.openxmlformats.org/officeDocument/2006/relationships/hyperlink" Target="#Ba&#351;lang&#305;&#231;!A1"/><Relationship Id="rId4" Type="http://schemas.openxmlformats.org/officeDocument/2006/relationships/hyperlink" Target="#'&#214;zet Tablo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Mevzuat Bankas&#305;'!A1"/><Relationship Id="rId2" Type="http://schemas.openxmlformats.org/officeDocument/2006/relationships/hyperlink" Target="#'Tefti&#351; Noktalar&#305;'!A1"/><Relationship Id="rId1" Type="http://schemas.openxmlformats.org/officeDocument/2006/relationships/hyperlink" Target="#Ba&#351;lang&#305;&#231;!A1"/><Relationship Id="rId4" Type="http://schemas.openxmlformats.org/officeDocument/2006/relationships/hyperlink" Target="#'&#214;zet Tablo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Mevzuat Bankas&#305;'!A1"/><Relationship Id="rId2" Type="http://schemas.openxmlformats.org/officeDocument/2006/relationships/hyperlink" Target="#'Tefti&#351; Noktalar&#305;'!A1"/><Relationship Id="rId1" Type="http://schemas.openxmlformats.org/officeDocument/2006/relationships/hyperlink" Target="#Ba&#351;lang&#305;&#231;!A1"/><Relationship Id="rId4" Type="http://schemas.openxmlformats.org/officeDocument/2006/relationships/hyperlink" Target="#'&#214;zet Tablo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Mevzuat Bankas&#305;'!A1"/><Relationship Id="rId2" Type="http://schemas.openxmlformats.org/officeDocument/2006/relationships/hyperlink" Target="#'Tefti&#351; Noktalar&#305;'!A1"/><Relationship Id="rId1" Type="http://schemas.openxmlformats.org/officeDocument/2006/relationships/hyperlink" Target="#Ba&#351;lang&#305;&#231;!A1"/><Relationship Id="rId4" Type="http://schemas.openxmlformats.org/officeDocument/2006/relationships/hyperlink" Target="#'&#214;zet Tablo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44450</xdr:colOff>
      <xdr:row>0</xdr:row>
      <xdr:rowOff>76200</xdr:rowOff>
    </xdr:from>
    <xdr:to>
      <xdr:col>2</xdr:col>
      <xdr:colOff>514350</xdr:colOff>
      <xdr:row>4</xdr:row>
      <xdr:rowOff>114300</xdr:rowOff>
    </xdr:to>
    <xdr:sp macro="" textlink="">
      <xdr:nvSpPr>
        <xdr:cNvPr id="2" name="Dikdörtgen: Köşeleri Yuvarlatılmış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240C78-8B1F-7F43-CA63-26637EA8217C}"/>
            </a:ext>
          </a:extLst>
        </xdr:cNvPr>
        <xdr:cNvSpPr/>
      </xdr:nvSpPr>
      <xdr:spPr>
        <a:xfrm>
          <a:off x="44450" y="76200"/>
          <a:ext cx="1689100" cy="774700"/>
        </a:xfrm>
        <a:prstGeom prst="roundRect">
          <a:avLst/>
        </a:prstGeom>
        <a:solidFill>
          <a:srgbClr val="00B050"/>
        </a:solidFill>
        <a:effectLst>
          <a:outerShdw blurRad="50800" dist="50800" dir="5400000" algn="ctr" rotWithShape="0">
            <a:srgbClr val="000000">
              <a:alpha val="6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>
              <a:latin typeface="+mj-lt"/>
            </a:rPr>
            <a:t>BAŞLANGIÇ</a:t>
          </a:r>
        </a:p>
        <a:p>
          <a:pPr algn="ctr"/>
          <a:endParaRPr lang="tr-TR" sz="1100" b="1">
            <a:latin typeface="+mj-lt"/>
          </a:endParaRPr>
        </a:p>
      </xdr:txBody>
    </xdr:sp>
    <xdr:clientData/>
  </xdr:twoCellAnchor>
  <xdr:twoCellAnchor editAs="absolute">
    <xdr:from>
      <xdr:col>0</xdr:col>
      <xdr:colOff>50800</xdr:colOff>
      <xdr:row>4</xdr:row>
      <xdr:rowOff>171450</xdr:rowOff>
    </xdr:from>
    <xdr:to>
      <xdr:col>2</xdr:col>
      <xdr:colOff>520700</xdr:colOff>
      <xdr:row>9</xdr:row>
      <xdr:rowOff>25400</xdr:rowOff>
    </xdr:to>
    <xdr:sp macro="" textlink="">
      <xdr:nvSpPr>
        <xdr:cNvPr id="3" name="Dikdörtgen: Köşeleri Yuvarlatılmış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868B6B-E4C2-4059-BC39-20FA341EAAB3}"/>
            </a:ext>
          </a:extLst>
        </xdr:cNvPr>
        <xdr:cNvSpPr/>
      </xdr:nvSpPr>
      <xdr:spPr>
        <a:xfrm>
          <a:off x="50800" y="908050"/>
          <a:ext cx="1689100" cy="774700"/>
        </a:xfrm>
        <a:prstGeom prst="roundRect">
          <a:avLst/>
        </a:prstGeom>
        <a:effectLst>
          <a:outerShdw blurRad="50800" dist="50800" dir="5400000" algn="ctr" rotWithShape="0">
            <a:srgbClr val="000000">
              <a:alpha val="6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/>
            <a:t>TEFTİŞ NOKTALARI</a:t>
          </a:r>
        </a:p>
        <a:p>
          <a:pPr algn="ctr"/>
          <a:endParaRPr lang="tr-TR" sz="1100" b="1"/>
        </a:p>
      </xdr:txBody>
    </xdr:sp>
    <xdr:clientData/>
  </xdr:twoCellAnchor>
  <xdr:twoCellAnchor editAs="absolute">
    <xdr:from>
      <xdr:col>0</xdr:col>
      <xdr:colOff>44450</xdr:colOff>
      <xdr:row>9</xdr:row>
      <xdr:rowOff>88900</xdr:rowOff>
    </xdr:from>
    <xdr:to>
      <xdr:col>2</xdr:col>
      <xdr:colOff>514350</xdr:colOff>
      <xdr:row>13</xdr:row>
      <xdr:rowOff>127000</xdr:rowOff>
    </xdr:to>
    <xdr:sp macro="" textlink="">
      <xdr:nvSpPr>
        <xdr:cNvPr id="4" name="Dikdörtgen: Köşeleri Yuvarlatılmış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17C6283-F0A3-41EB-962A-F0964C28391D}"/>
            </a:ext>
          </a:extLst>
        </xdr:cNvPr>
        <xdr:cNvSpPr/>
      </xdr:nvSpPr>
      <xdr:spPr>
        <a:xfrm>
          <a:off x="44450" y="1746250"/>
          <a:ext cx="1689100" cy="774700"/>
        </a:xfrm>
        <a:prstGeom prst="roundRect">
          <a:avLst/>
        </a:prstGeom>
        <a:effectLst>
          <a:outerShdw blurRad="50800" dist="50800" dir="5400000" algn="ctr" rotWithShape="0">
            <a:srgbClr val="000000">
              <a:alpha val="6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/>
            <a:t>MEVZUAT BANKASI</a:t>
          </a:r>
        </a:p>
      </xdr:txBody>
    </xdr:sp>
    <xdr:clientData/>
  </xdr:twoCellAnchor>
  <xdr:twoCellAnchor editAs="absolute">
    <xdr:from>
      <xdr:col>0</xdr:col>
      <xdr:colOff>38100</xdr:colOff>
      <xdr:row>14</xdr:row>
      <xdr:rowOff>0</xdr:rowOff>
    </xdr:from>
    <xdr:to>
      <xdr:col>2</xdr:col>
      <xdr:colOff>508000</xdr:colOff>
      <xdr:row>18</xdr:row>
      <xdr:rowOff>38100</xdr:rowOff>
    </xdr:to>
    <xdr:sp macro="" textlink="">
      <xdr:nvSpPr>
        <xdr:cNvPr id="5" name="Dikdörtgen: Köşeleri Yuvarlatılmış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4F72E9F-A4DF-4917-AF0F-AF15EBED2257}"/>
            </a:ext>
          </a:extLst>
        </xdr:cNvPr>
        <xdr:cNvSpPr/>
      </xdr:nvSpPr>
      <xdr:spPr>
        <a:xfrm>
          <a:off x="38100" y="2578100"/>
          <a:ext cx="1689100" cy="774700"/>
        </a:xfrm>
        <a:prstGeom prst="roundRect">
          <a:avLst/>
        </a:prstGeom>
        <a:effectLst>
          <a:outerShdw blurRad="50800" dist="50800" dir="5400000" algn="ctr" rotWithShape="0">
            <a:srgbClr val="000000">
              <a:alpha val="6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/>
            <a:t>ÖZET TABLO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44450</xdr:colOff>
      <xdr:row>0</xdr:row>
      <xdr:rowOff>76200</xdr:rowOff>
    </xdr:from>
    <xdr:to>
      <xdr:col>2</xdr:col>
      <xdr:colOff>514350</xdr:colOff>
      <xdr:row>2</xdr:row>
      <xdr:rowOff>508000</xdr:rowOff>
    </xdr:to>
    <xdr:sp macro="" textlink="">
      <xdr:nvSpPr>
        <xdr:cNvPr id="2" name="Dikdörtgen: Köşeleri Yuvarlatılmış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FB8858-F83D-4B00-AB67-E55731A011E5}"/>
            </a:ext>
          </a:extLst>
        </xdr:cNvPr>
        <xdr:cNvSpPr/>
      </xdr:nvSpPr>
      <xdr:spPr>
        <a:xfrm>
          <a:off x="44450" y="76200"/>
          <a:ext cx="1689100" cy="774700"/>
        </a:xfrm>
        <a:prstGeom prst="roundRect">
          <a:avLst/>
        </a:prstGeom>
        <a:effectLst>
          <a:outerShdw blurRad="50800" dist="50800" dir="5400000" algn="ctr" rotWithShape="0">
            <a:srgbClr val="000000">
              <a:alpha val="6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>
              <a:latin typeface="+mj-lt"/>
            </a:rPr>
            <a:t>BAŞLANGIÇ</a:t>
          </a:r>
        </a:p>
        <a:p>
          <a:pPr algn="ctr"/>
          <a:endParaRPr lang="tr-TR" sz="1100" b="1">
            <a:latin typeface="+mj-lt"/>
          </a:endParaRPr>
        </a:p>
      </xdr:txBody>
    </xdr:sp>
    <xdr:clientData/>
  </xdr:twoCellAnchor>
  <xdr:twoCellAnchor editAs="absolute">
    <xdr:from>
      <xdr:col>0</xdr:col>
      <xdr:colOff>50800</xdr:colOff>
      <xdr:row>2</xdr:row>
      <xdr:rowOff>554182</xdr:rowOff>
    </xdr:from>
    <xdr:to>
      <xdr:col>2</xdr:col>
      <xdr:colOff>520700</xdr:colOff>
      <xdr:row>4</xdr:row>
      <xdr:rowOff>222250</xdr:rowOff>
    </xdr:to>
    <xdr:sp macro="" textlink="">
      <xdr:nvSpPr>
        <xdr:cNvPr id="3" name="Dikdörtgen: Köşeleri Yuvarlatılmış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4AEE3A-C0FB-4E40-9D44-AEF5C0451AA0}"/>
            </a:ext>
          </a:extLst>
        </xdr:cNvPr>
        <xdr:cNvSpPr/>
      </xdr:nvSpPr>
      <xdr:spPr>
        <a:xfrm>
          <a:off x="50800" y="908050"/>
          <a:ext cx="1689100" cy="774700"/>
        </a:xfrm>
        <a:prstGeom prst="roundRect">
          <a:avLst/>
        </a:prstGeom>
        <a:solidFill>
          <a:srgbClr val="00B050"/>
        </a:solidFill>
        <a:effectLst>
          <a:outerShdw blurRad="50800" dist="50800" dir="5400000" algn="ctr" rotWithShape="0">
            <a:srgbClr val="000000">
              <a:alpha val="6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/>
            <a:t>TEFTİŞ NOKTALARI</a:t>
          </a:r>
        </a:p>
        <a:p>
          <a:pPr algn="ctr"/>
          <a:endParaRPr lang="tr-TR" sz="1100" b="1"/>
        </a:p>
      </xdr:txBody>
    </xdr:sp>
    <xdr:clientData/>
  </xdr:twoCellAnchor>
  <xdr:twoCellAnchor editAs="absolute">
    <xdr:from>
      <xdr:col>0</xdr:col>
      <xdr:colOff>44450</xdr:colOff>
      <xdr:row>4</xdr:row>
      <xdr:rowOff>285750</xdr:rowOff>
    </xdr:from>
    <xdr:to>
      <xdr:col>2</xdr:col>
      <xdr:colOff>514350</xdr:colOff>
      <xdr:row>6</xdr:row>
      <xdr:rowOff>128155</xdr:rowOff>
    </xdr:to>
    <xdr:sp macro="" textlink="">
      <xdr:nvSpPr>
        <xdr:cNvPr id="4" name="Dikdörtgen: Köşeleri Yuvarlatılmış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17ABADF-064F-4D4A-97FD-281D88A04865}"/>
            </a:ext>
          </a:extLst>
        </xdr:cNvPr>
        <xdr:cNvSpPr/>
      </xdr:nvSpPr>
      <xdr:spPr>
        <a:xfrm>
          <a:off x="44450" y="1746250"/>
          <a:ext cx="1689100" cy="774700"/>
        </a:xfrm>
        <a:prstGeom prst="roundRect">
          <a:avLst/>
        </a:prstGeom>
        <a:effectLst>
          <a:outerShdw blurRad="50800" dist="50800" dir="5400000" algn="ctr" rotWithShape="0">
            <a:srgbClr val="000000">
              <a:alpha val="6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/>
            <a:t>MEVZUAT BANKASI</a:t>
          </a:r>
        </a:p>
      </xdr:txBody>
    </xdr:sp>
    <xdr:clientData/>
  </xdr:twoCellAnchor>
  <xdr:twoCellAnchor editAs="absolute">
    <xdr:from>
      <xdr:col>0</xdr:col>
      <xdr:colOff>38100</xdr:colOff>
      <xdr:row>6</xdr:row>
      <xdr:rowOff>196273</xdr:rowOff>
    </xdr:from>
    <xdr:to>
      <xdr:col>2</xdr:col>
      <xdr:colOff>508000</xdr:colOff>
      <xdr:row>7</xdr:row>
      <xdr:rowOff>431222</xdr:rowOff>
    </xdr:to>
    <xdr:sp macro="" textlink="">
      <xdr:nvSpPr>
        <xdr:cNvPr id="5" name="Dikdörtgen: Köşeleri Yuvarlatılmış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F636C93-29C8-48E7-8A25-1F360C82E0AB}"/>
            </a:ext>
          </a:extLst>
        </xdr:cNvPr>
        <xdr:cNvSpPr/>
      </xdr:nvSpPr>
      <xdr:spPr>
        <a:xfrm>
          <a:off x="38100" y="2578100"/>
          <a:ext cx="1689100" cy="774700"/>
        </a:xfrm>
        <a:prstGeom prst="roundRect">
          <a:avLst/>
        </a:prstGeom>
        <a:effectLst>
          <a:outerShdw blurRad="50800" dist="50800" dir="5400000" algn="ctr" rotWithShape="0">
            <a:srgbClr val="000000">
              <a:alpha val="6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/>
            <a:t>ÖZET TABLO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44450</xdr:colOff>
      <xdr:row>0</xdr:row>
      <xdr:rowOff>76200</xdr:rowOff>
    </xdr:from>
    <xdr:to>
      <xdr:col>2</xdr:col>
      <xdr:colOff>514350</xdr:colOff>
      <xdr:row>4</xdr:row>
      <xdr:rowOff>114300</xdr:rowOff>
    </xdr:to>
    <xdr:sp macro="" textlink="">
      <xdr:nvSpPr>
        <xdr:cNvPr id="2" name="Dikdörtgen: Köşeleri Yuvarlatılmış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78B254-8A14-45CC-82A1-9296E001DA0C}"/>
            </a:ext>
          </a:extLst>
        </xdr:cNvPr>
        <xdr:cNvSpPr/>
      </xdr:nvSpPr>
      <xdr:spPr>
        <a:xfrm>
          <a:off x="44450" y="76200"/>
          <a:ext cx="1689100" cy="774700"/>
        </a:xfrm>
        <a:prstGeom prst="roundRect">
          <a:avLst/>
        </a:prstGeom>
        <a:effectLst>
          <a:outerShdw blurRad="50800" dist="50800" dir="5400000" algn="ctr" rotWithShape="0">
            <a:srgbClr val="000000">
              <a:alpha val="6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>
              <a:latin typeface="+mj-lt"/>
            </a:rPr>
            <a:t>BAŞLANGIÇ</a:t>
          </a:r>
        </a:p>
        <a:p>
          <a:pPr algn="ctr"/>
          <a:endParaRPr lang="tr-TR" sz="1100" b="1">
            <a:latin typeface="+mj-lt"/>
          </a:endParaRPr>
        </a:p>
      </xdr:txBody>
    </xdr:sp>
    <xdr:clientData/>
  </xdr:twoCellAnchor>
  <xdr:twoCellAnchor editAs="absolute">
    <xdr:from>
      <xdr:col>0</xdr:col>
      <xdr:colOff>50800</xdr:colOff>
      <xdr:row>4</xdr:row>
      <xdr:rowOff>171450</xdr:rowOff>
    </xdr:from>
    <xdr:to>
      <xdr:col>2</xdr:col>
      <xdr:colOff>520700</xdr:colOff>
      <xdr:row>9</xdr:row>
      <xdr:rowOff>25400</xdr:rowOff>
    </xdr:to>
    <xdr:sp macro="" textlink="">
      <xdr:nvSpPr>
        <xdr:cNvPr id="3" name="Dikdörtgen: Köşeleri Yuvarlatılmış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22AD2F-C549-40CF-8593-BC01062D26C1}"/>
            </a:ext>
          </a:extLst>
        </xdr:cNvPr>
        <xdr:cNvSpPr/>
      </xdr:nvSpPr>
      <xdr:spPr>
        <a:xfrm>
          <a:off x="50800" y="908050"/>
          <a:ext cx="1689100" cy="774700"/>
        </a:xfrm>
        <a:prstGeom prst="roundRect">
          <a:avLst/>
        </a:prstGeom>
        <a:effectLst>
          <a:outerShdw blurRad="50800" dist="50800" dir="5400000" algn="ctr" rotWithShape="0">
            <a:srgbClr val="000000">
              <a:alpha val="6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/>
            <a:t>TEFTİŞ NOKTALARI</a:t>
          </a:r>
        </a:p>
        <a:p>
          <a:pPr algn="ctr"/>
          <a:endParaRPr lang="tr-TR" sz="1100" b="1"/>
        </a:p>
      </xdr:txBody>
    </xdr:sp>
    <xdr:clientData/>
  </xdr:twoCellAnchor>
  <xdr:twoCellAnchor editAs="absolute">
    <xdr:from>
      <xdr:col>0</xdr:col>
      <xdr:colOff>44450</xdr:colOff>
      <xdr:row>9</xdr:row>
      <xdr:rowOff>88900</xdr:rowOff>
    </xdr:from>
    <xdr:to>
      <xdr:col>2</xdr:col>
      <xdr:colOff>514350</xdr:colOff>
      <xdr:row>13</xdr:row>
      <xdr:rowOff>127000</xdr:rowOff>
    </xdr:to>
    <xdr:sp macro="" textlink="">
      <xdr:nvSpPr>
        <xdr:cNvPr id="4" name="Dikdörtgen: Köşeleri Yuvarlatılmış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69EF2EE-7D23-42B5-9E02-1B00263C161D}"/>
            </a:ext>
          </a:extLst>
        </xdr:cNvPr>
        <xdr:cNvSpPr/>
      </xdr:nvSpPr>
      <xdr:spPr>
        <a:xfrm>
          <a:off x="44450" y="1746250"/>
          <a:ext cx="1689100" cy="774700"/>
        </a:xfrm>
        <a:prstGeom prst="roundRect">
          <a:avLst/>
        </a:prstGeom>
        <a:solidFill>
          <a:srgbClr val="00B050"/>
        </a:solidFill>
        <a:effectLst>
          <a:outerShdw blurRad="50800" dist="50800" dir="5400000" algn="ctr" rotWithShape="0">
            <a:srgbClr val="000000">
              <a:alpha val="6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/>
            <a:t>MEVZUAT BANKASI</a:t>
          </a:r>
        </a:p>
      </xdr:txBody>
    </xdr:sp>
    <xdr:clientData/>
  </xdr:twoCellAnchor>
  <xdr:twoCellAnchor editAs="absolute">
    <xdr:from>
      <xdr:col>0</xdr:col>
      <xdr:colOff>38100</xdr:colOff>
      <xdr:row>14</xdr:row>
      <xdr:rowOff>0</xdr:rowOff>
    </xdr:from>
    <xdr:to>
      <xdr:col>2</xdr:col>
      <xdr:colOff>508000</xdr:colOff>
      <xdr:row>18</xdr:row>
      <xdr:rowOff>38100</xdr:rowOff>
    </xdr:to>
    <xdr:sp macro="" textlink="">
      <xdr:nvSpPr>
        <xdr:cNvPr id="5" name="Dikdörtgen: Köşeleri Yuvarlatılmış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6C460FB-384F-4477-87EB-3DD9A449EBA4}"/>
            </a:ext>
          </a:extLst>
        </xdr:cNvPr>
        <xdr:cNvSpPr/>
      </xdr:nvSpPr>
      <xdr:spPr>
        <a:xfrm>
          <a:off x="38100" y="2578100"/>
          <a:ext cx="1689100" cy="774700"/>
        </a:xfrm>
        <a:prstGeom prst="roundRect">
          <a:avLst/>
        </a:prstGeom>
        <a:effectLst>
          <a:outerShdw blurRad="50800" dist="50800" dir="5400000" algn="ctr" rotWithShape="0">
            <a:srgbClr val="000000">
              <a:alpha val="6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/>
            <a:t>ÖZET TABLO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44450</xdr:colOff>
      <xdr:row>0</xdr:row>
      <xdr:rowOff>76200</xdr:rowOff>
    </xdr:from>
    <xdr:to>
      <xdr:col>2</xdr:col>
      <xdr:colOff>514350</xdr:colOff>
      <xdr:row>4</xdr:row>
      <xdr:rowOff>114300</xdr:rowOff>
    </xdr:to>
    <xdr:sp macro="" textlink="">
      <xdr:nvSpPr>
        <xdr:cNvPr id="2" name="Dikdörtgen: Köşeleri Yuvarlatılmış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A9A9A0-76F4-4297-BEEE-EA595A1D3B7D}"/>
            </a:ext>
          </a:extLst>
        </xdr:cNvPr>
        <xdr:cNvSpPr/>
      </xdr:nvSpPr>
      <xdr:spPr>
        <a:xfrm>
          <a:off x="44450" y="76200"/>
          <a:ext cx="1689100" cy="774700"/>
        </a:xfrm>
        <a:prstGeom prst="roundRect">
          <a:avLst/>
        </a:prstGeom>
        <a:effectLst>
          <a:outerShdw blurRad="50800" dist="50800" dir="5400000" algn="ctr" rotWithShape="0">
            <a:srgbClr val="000000">
              <a:alpha val="6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>
              <a:latin typeface="+mj-lt"/>
            </a:rPr>
            <a:t>BAŞLANGIÇ</a:t>
          </a:r>
        </a:p>
        <a:p>
          <a:pPr algn="ctr"/>
          <a:endParaRPr lang="tr-TR" sz="1100" b="1">
            <a:latin typeface="+mj-lt"/>
          </a:endParaRPr>
        </a:p>
      </xdr:txBody>
    </xdr:sp>
    <xdr:clientData/>
  </xdr:twoCellAnchor>
  <xdr:twoCellAnchor editAs="absolute">
    <xdr:from>
      <xdr:col>0</xdr:col>
      <xdr:colOff>50800</xdr:colOff>
      <xdr:row>4</xdr:row>
      <xdr:rowOff>171450</xdr:rowOff>
    </xdr:from>
    <xdr:to>
      <xdr:col>2</xdr:col>
      <xdr:colOff>520700</xdr:colOff>
      <xdr:row>9</xdr:row>
      <xdr:rowOff>25400</xdr:rowOff>
    </xdr:to>
    <xdr:sp macro="" textlink="">
      <xdr:nvSpPr>
        <xdr:cNvPr id="3" name="Dikdörtgen: Köşeleri Yuvarlatılmış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E72852-0C50-4ED1-9AAD-1670A741A5CD}"/>
            </a:ext>
          </a:extLst>
        </xdr:cNvPr>
        <xdr:cNvSpPr/>
      </xdr:nvSpPr>
      <xdr:spPr>
        <a:xfrm>
          <a:off x="50800" y="908050"/>
          <a:ext cx="1689100" cy="774700"/>
        </a:xfrm>
        <a:prstGeom prst="roundRect">
          <a:avLst/>
        </a:prstGeom>
        <a:effectLst>
          <a:outerShdw blurRad="50800" dist="50800" dir="5400000" algn="ctr" rotWithShape="0">
            <a:srgbClr val="000000">
              <a:alpha val="6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/>
            <a:t>TEFTİŞ NOKTALARI</a:t>
          </a:r>
        </a:p>
        <a:p>
          <a:pPr algn="ctr"/>
          <a:endParaRPr lang="tr-TR" sz="1100" b="1"/>
        </a:p>
      </xdr:txBody>
    </xdr:sp>
    <xdr:clientData/>
  </xdr:twoCellAnchor>
  <xdr:twoCellAnchor editAs="absolute">
    <xdr:from>
      <xdr:col>0</xdr:col>
      <xdr:colOff>44450</xdr:colOff>
      <xdr:row>9</xdr:row>
      <xdr:rowOff>88900</xdr:rowOff>
    </xdr:from>
    <xdr:to>
      <xdr:col>2</xdr:col>
      <xdr:colOff>514350</xdr:colOff>
      <xdr:row>13</xdr:row>
      <xdr:rowOff>127000</xdr:rowOff>
    </xdr:to>
    <xdr:sp macro="" textlink="">
      <xdr:nvSpPr>
        <xdr:cNvPr id="4" name="Dikdörtgen: Köşeleri Yuvarlatılmış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A5EC064-024D-46D2-A1FD-8CA765DF21BC}"/>
            </a:ext>
          </a:extLst>
        </xdr:cNvPr>
        <xdr:cNvSpPr/>
      </xdr:nvSpPr>
      <xdr:spPr>
        <a:xfrm>
          <a:off x="44450" y="1746250"/>
          <a:ext cx="1689100" cy="774700"/>
        </a:xfrm>
        <a:prstGeom prst="roundRect">
          <a:avLst/>
        </a:prstGeom>
        <a:effectLst>
          <a:outerShdw blurRad="50800" dist="50800" dir="5400000" algn="ctr" rotWithShape="0">
            <a:srgbClr val="000000">
              <a:alpha val="6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/>
            <a:t>MEVZUAT BANKASI</a:t>
          </a:r>
        </a:p>
      </xdr:txBody>
    </xdr:sp>
    <xdr:clientData/>
  </xdr:twoCellAnchor>
  <xdr:twoCellAnchor editAs="absolute">
    <xdr:from>
      <xdr:col>0</xdr:col>
      <xdr:colOff>38100</xdr:colOff>
      <xdr:row>14</xdr:row>
      <xdr:rowOff>0</xdr:rowOff>
    </xdr:from>
    <xdr:to>
      <xdr:col>2</xdr:col>
      <xdr:colOff>508000</xdr:colOff>
      <xdr:row>18</xdr:row>
      <xdr:rowOff>38100</xdr:rowOff>
    </xdr:to>
    <xdr:sp macro="" textlink="">
      <xdr:nvSpPr>
        <xdr:cNvPr id="5" name="Dikdörtgen: Köşeleri Yuvarlatılmış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A5CAC39-3E70-47CE-BBDF-02FF66C7C600}"/>
            </a:ext>
          </a:extLst>
        </xdr:cNvPr>
        <xdr:cNvSpPr/>
      </xdr:nvSpPr>
      <xdr:spPr>
        <a:xfrm>
          <a:off x="38100" y="2578100"/>
          <a:ext cx="1689100" cy="774700"/>
        </a:xfrm>
        <a:prstGeom prst="roundRect">
          <a:avLst/>
        </a:prstGeom>
        <a:solidFill>
          <a:srgbClr val="00B050"/>
        </a:solidFill>
        <a:effectLst>
          <a:outerShdw blurRad="50800" dist="50800" dir="5400000" algn="ctr" rotWithShape="0">
            <a:srgbClr val="000000">
              <a:alpha val="6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/>
            <a:t>ÖZET TABLO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usuf.yilmaz3/Downloads/Mevzuatl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2"/>
    </sheetNames>
    <sheetDataSet>
      <sheetData sheetId="0">
        <row r="1">
          <cell r="A1" t="str">
            <v>Teftiş Maddesi</v>
          </cell>
          <cell r="B1" t="str">
            <v>sadece mevzuat</v>
          </cell>
          <cell r="C1" t="str">
            <v>madde</v>
          </cell>
        </row>
        <row r="2">
          <cell r="A2" t="str">
            <v>Özel spor tesisi açılış dosyalarında; belediye izin belgesi, itfaiye raporu, sağlık raporu ve kolluk kuvveti görüşü eksiksiz midir?</v>
          </cell>
          <cell r="B2" t="str">
            <v>Özel Spor Tes. Yön.</v>
          </cell>
          <cell r="C2" t="str">
            <v>md. 5</v>
          </cell>
        </row>
        <row r="3">
          <cell r="A3" t="str">
            <v>Tesis bünyesindeki antrenör, masör veya eğiticilerle yapılan sözleşmelerin tasdikli suretleri dosyalarında mevcut mudur?</v>
          </cell>
          <cell r="B3" t="str">
            <v>Özel Spor Tes. Yön.</v>
          </cell>
          <cell r="C3" t="str">
            <v>md. 5</v>
          </cell>
        </row>
        <row r="4">
          <cell r="A4" t="str">
            <v>Açılış işlemleri tamamlanmayan veya izni bulunmayan tesislerin izinsiz faaliyet göstermeleri engellenmiş midir?</v>
          </cell>
          <cell r="B4" t="str">
            <v>Özel Spor Tes. Yön.</v>
          </cell>
          <cell r="C4" t="str">
            <v>md. 11</v>
          </cell>
        </row>
        <row r="5">
          <cell r="A5" t="str">
            <v>Tesis tescil ücretlerinin %50'sinin Genel Müdürlük, %50'sinin İl Müdürlüğü hesabına yatırıldığına dair makbuzlar dosyasında mıdır?</v>
          </cell>
          <cell r="B5" t="str">
            <v>Özel Spor Tes. Yön.</v>
          </cell>
          <cell r="C5" t="str">
            <v>md. 11</v>
          </cell>
        </row>
        <row r="6">
          <cell r="A6" t="str">
            <v>Özel spor tesislerinin açılış izin tarihleri esas alınarak, komisyon marifetiyle her yıl düzenli vize işlemleri yapılmış mıdır?</v>
          </cell>
          <cell r="B6" t="str">
            <v>Özel Spor Tes. Yön.</v>
          </cell>
          <cell r="C6" t="str">
            <v>md. 13</v>
          </cell>
        </row>
        <row r="7">
          <cell r="A7" t="str">
            <v>Vize kontrollerini yapan komisyon; İl Müdürü başkanlığında, ilgili şube müdürleri, federasyon temsilcisi ve sağlık personeli katılımıyla usulüne uygun oluşturulmuş mudur?</v>
          </cell>
          <cell r="B7" t="str">
            <v>Özel Spor Tes. Yön.</v>
          </cell>
          <cell r="C7" t="str">
            <v>md. 12</v>
          </cell>
        </row>
        <row r="8">
          <cell r="A8" t="str">
            <v>Vize süresi dolan tesislerin faaliyetleri yerinde tetkik edilerek uygunlukları tutanak altına alınmış mıdır?</v>
          </cell>
          <cell r="B8" t="str">
            <v>Özel Spor Tes. Yön.</v>
          </cell>
          <cell r="C8" t="str">
            <v>md. 13</v>
          </cell>
        </row>
        <row r="9">
          <cell r="A9" t="str">
            <v>Özel spor tesisleri denetim formlarında yer alan “komisyonun tesise ilişkin görüş ve düşünceleri” bölümü eksiksiz doldurulmuş mudur?</v>
          </cell>
          <cell r="B9" t="str">
            <v>Özel Spor Tes. Yön.</v>
          </cell>
          <cell r="C9" t="str">
            <v>md. 14</v>
          </cell>
        </row>
        <row r="10">
          <cell r="A10" t="str">
            <v>Yapılan denetimlerde; tesisin amacı dışında kullanılıp kullanılmadığı, çalışma saatleri ve yaş sınırlarına riayet edilip edilmediği incelenmiş midir?</v>
          </cell>
          <cell r="B10" t="str">
            <v>Özel Spor Tes. Yön.</v>
          </cell>
          <cell r="C10" t="str">
            <v>md. 17, 18, 19</v>
          </cell>
        </row>
        <row r="11">
          <cell r="A11" t="str">
            <v>Tesislerde öğretici çalıştırma zorunluluğuna uyulup uyulmadığı ve noksan görülen işlemlerin akıbeti kayıt altına alınmış mıdır?</v>
          </cell>
          <cell r="B11" t="str">
            <v>Özel Spor Tes. Yön.</v>
          </cell>
          <cell r="C11" t="str">
            <v>md. 22, 26</v>
          </cell>
        </row>
        <row r="12">
          <cell r="A12" t="str">
            <v>İlçelerin ihtiyaç duyduğu spor dallarına ilişkin, Milli Eğitim ile koordineli şekilde “İlçe Sportif Faaliyetleri Değerlendirme Raporu” hazırlanmış mıdır?</v>
          </cell>
          <cell r="B12" t="str">
            <v>Bakanlık Makam Talimatı (2019/66</v>
          </cell>
          <cell r="C12" t="str">
            <v>talimatı (2019/66</v>
          </cell>
        </row>
        <row r="13">
          <cell r="A13" t="str">
            <v>Antrenörlerin branş ve ihtiyaç analizlerini yapmak üzere “İl Antrenör Koordinasyon ve Değerlendirme Kurulu” kararı alınmış mıdır?</v>
          </cell>
          <cell r="B13" t="str">
            <v>Bakanlık Makam Talimatı (2019/66)</v>
          </cell>
          <cell r="C13" t="str">
            <v>talimatı (2019/66)</v>
          </cell>
        </row>
        <row r="14">
          <cell r="A14" t="str">
            <v>Antrenörler için Kurul kararı doğrultusunda günlük, haftalık ve aylık dönemleri kapsayan çalışma programları hazırlanmış mıdır?</v>
          </cell>
          <cell r="B14" t="str">
            <v>Bakanlık Makam Talimatı (2019/66)</v>
          </cell>
          <cell r="C14" t="str">
            <v>talimatı (2019/66)</v>
          </cell>
        </row>
        <row r="15">
          <cell r="A15" t="str">
            <v>Hazırlanan antrenör çalışma programlarının uygulanmasına ilişkin Valilik makamından onay alınmış mıdır?</v>
          </cell>
          <cell r="B15" t="str">
            <v>Bakanlık Makam Talimatı (2019/66)</v>
          </cell>
          <cell r="C15" t="str">
            <v>talimatı (2019/66)</v>
          </cell>
        </row>
        <row r="16">
          <cell r="A16" t="str">
            <v>Antrenörlerin tüm ilçelerde dönemler halinde ve haftanın belirli günlerinde (en az 2 gün) görev yapması sağlanmış mıdır?</v>
          </cell>
          <cell r="B16" t="str">
            <v>Bakanlık Makam Talimatı (2019/66)</v>
          </cell>
          <cell r="C16" t="str">
            <v>talimatı (2019/66)</v>
          </cell>
        </row>
        <row r="17">
          <cell r="A17" t="str">
            <v>Antrenörler, kendi branş faaliyetlerinin yanı sıra "Türkiye Sportif Yetenek Taraması ve Spora Yönlendirme Projesi"nde görevlendirilmiş midir?</v>
          </cell>
          <cell r="B17" t="str">
            <v>Bakanlık Makam Talimatı (2019/66)</v>
          </cell>
          <cell r="C17" t="str">
            <v>talimatı (2019/66)</v>
          </cell>
        </row>
        <row r="18">
          <cell r="A18" t="str">
            <v>Antrenörlük belgesi bulunan sportif eğitim uzmanlarının, ihtiyaç halinde ve talepleri doğrultusunda ilçelerde görevlendirmesi yapılmış mıdır?</v>
          </cell>
          <cell r="B18" t="str">
            <v>Bakanlık Makam Talimatı (2019/66)</v>
          </cell>
          <cell r="C18" t="str">
            <v>talimatı (2019/66)</v>
          </cell>
        </row>
        <row r="19">
          <cell r="A19" t="str">
            <v>Antrenörlerin 40 saatlik çalışma programları, mesai saatleri dışındaki sportif faaliyetleri kapsayacak şekilde birim amirince onaylanmış mıdır?</v>
          </cell>
          <cell r="B19" t="str">
            <v xml:space="preserve">Antrenör Çal. Usul Yön. </v>
          </cell>
          <cell r="C19" t="str">
            <v>md. 7</v>
          </cell>
        </row>
        <row r="20">
          <cell r="A20" t="str">
            <v>Sayıca fazla olan veya 40 saatlik çalışma süresini doldurmayan antrenörler, öğretim kurumlarında veya temel alıştırma çalışmalarında görevlendirilmiş midir?</v>
          </cell>
          <cell r="B20" t="str">
            <v>Antrenör Çal. Usul Yön.</v>
          </cell>
          <cell r="C20" t="str">
            <v>md. 7</v>
          </cell>
        </row>
        <row r="21">
          <cell r="A21" t="str">
            <v>Antrenörlerin günlük, haftalık, aylık ve yıllık programlarının takibi Spor Hizmetleri Şube Müdürlüğü tarafından düzenli olarak yapılmış mıdır?</v>
          </cell>
          <cell r="B21" t="str">
            <v>Antrenör Çal. Usul Yön.</v>
          </cell>
          <cell r="C21" t="str">
            <v>md. 12</v>
          </cell>
        </row>
        <row r="22">
          <cell r="A22" t="str">
            <v>Tesis denetimlerinde, antrenörlerin faaliyet programında belirtilen antrenmanları fiilen gerçekleştirip gerçekleştirmedikleri kontrol edilmiş midir?</v>
          </cell>
          <cell r="B22" t="str">
            <v>Antrenör Çal. Usul Yön.</v>
          </cell>
          <cell r="C22" t="str">
            <v>md. 12</v>
          </cell>
        </row>
        <row r="23">
          <cell r="A23" t="str">
            <v>Antrenörlerin sporcu potansiyelini artırmaya yönelik okul ve kulüp ziyaretleri ile sporcu devam takip belgeleri dosyalarında mevcut mudur?</v>
          </cell>
          <cell r="B23" t="str">
            <v>Antrenör Çal. Usul Yön.</v>
          </cell>
          <cell r="C23" t="str">
            <v>md. 5/1-c</v>
          </cell>
        </row>
        <row r="24">
          <cell r="A24" t="str">
            <v>Antrenör çalışma programlarının İl Müdürlüğü tarafından tasdik edildiğine dair onaylı belgeler mevcut mudur?</v>
          </cell>
          <cell r="B24" t="str">
            <v>Antrenör Çal. Usul Yön.</v>
          </cell>
          <cell r="C24" t="str">
            <v>md. 5/1-ç</v>
          </cell>
        </row>
        <row r="25">
          <cell r="A25" t="str">
            <v>İl Müdürü veya Şube Müdürü başkanlığında; spor temsilcisi, eğitim uzmanı ve antrenörden oluşan “İl Antrenör Koordinasyon ve Değerlendirme Kurulu” kurulmuş mudur?</v>
          </cell>
          <cell r="B25" t="str">
            <v>Antrenör Çal. Usul Yön.</v>
          </cell>
          <cell r="C25" t="str">
            <v>md. 14</v>
          </cell>
        </row>
        <row r="26">
          <cell r="A26" t="str">
            <v>Söz konusu kurul, antrenörlerin görev ve sorumluluklarını yerine getirip getirmediğini takip ederek düzenli rapor hazırlamış mıdır?</v>
          </cell>
          <cell r="B26" t="str">
            <v>Antrenör Çal. Usul Yön.</v>
          </cell>
          <cell r="C26" t="str">
            <v>md. 14</v>
          </cell>
        </row>
        <row r="27">
          <cell r="A27" t="str">
            <v>Antrenörlerin idari yönden denetimleri, Kurul tarafından hazırlanan raporlar esas alınarak İl veya İlçe Müdürlüklerince yapılmış mıdır?</v>
          </cell>
          <cell r="B27" t="str">
            <v>Antrenör Çal. Usul Yön.</v>
          </cell>
          <cell r="C27" t="str">
            <v>md. 14</v>
          </cell>
        </row>
        <row r="28">
          <cell r="A28" t="str">
            <v>Çalışmaları yetersiz görülen kadrolu veya sözleşmeli antrenörler hakkında mevzuat dahilinde gerekli yasal işlemler tesis edilmiş midir?</v>
          </cell>
          <cell r="B28" t="str">
            <v>Antrenör Çal. Usul Yön.</v>
          </cell>
          <cell r="C28" t="str">
            <v>md. 14</v>
          </cell>
        </row>
        <row r="29">
          <cell r="A29" t="str">
            <v>İl spor dalı temsilcileri ile her ay düzenli toplantı yapılarak branş raporları kayıt altına alınmış mıdır?</v>
          </cell>
          <cell r="B29" t="str">
            <v>İl Spor Dalı Tems. Yön.</v>
          </cell>
          <cell r="C29" t="str">
            <v>md. 8</v>
          </cell>
        </row>
        <row r="30">
          <cell r="A30" t="str">
            <v>Görev yapan il spor dalı temsilcilerinin; sporcu, antrenör veya hakemlik geçmişi gibi mevzuatta aranan niteliklere sahip olduğu saptanmış mıdır?</v>
          </cell>
          <cell r="B30" t="str">
            <v>İl Spor Dalı Tems. Yön.</v>
          </cell>
          <cell r="C30" t="str">
            <v>md. 6</v>
          </cell>
        </row>
        <row r="31">
          <cell r="A31" t="str">
            <v>Spor kulüplerine yapılan nakdi yardımlara ilişkin harcama belgelerinin 15 gün içerisinde İl Müdürlüğüne teslimi sağlanmış mı?</v>
          </cell>
          <cell r="B31" t="str">
            <v>Spor Kulüpleri Yön.</v>
          </cell>
          <cell r="C31" t="str">
            <v>md. 34-37</v>
          </cell>
        </row>
        <row r="32">
          <cell r="A32" t="str">
            <v>Nakdi yardım alan kulüplerin; "Kulüp Alındı Belgesi", "Ayni Bağış Alındı Belgesi" ve fotoğraflı "Yetki Belgesi" dosyalarında mevcut mudur?</v>
          </cell>
          <cell r="B32" t="str">
            <v>Spor Kulüpleri Yön.</v>
          </cell>
          <cell r="C32" t="str">
            <v>md. 37</v>
          </cell>
        </row>
        <row r="33">
          <cell r="A33" t="str">
            <v>Kulüp yardımlarına ilişkin harcama belgelerinin takibi ve muhafazası, mevzuata uygun olarak "Sicil Lisans ve Spor Kulüpleri Birimi"nce mi yapılıyor?</v>
          </cell>
          <cell r="B33" t="str">
            <v>GSB Taşra Teşkilatı Yön.</v>
          </cell>
          <cell r="C33" t="str">
            <v>md. 17</v>
          </cell>
        </row>
        <row r="34">
          <cell r="A34" t="str">
            <v>Kulüpler tarafından verilen taahhütnamelerde yardım tutarı ve düzenleme tarihi bilgileri eksiksiz yer almakta mıdır?</v>
          </cell>
          <cell r="B34" t="str">
            <v>Spor Kulüpleri Yön.</v>
          </cell>
          <cell r="C34" t="str">
            <v>md. 36</v>
          </cell>
        </row>
        <row r="35">
          <cell r="A35" t="str">
            <v>Lisanslı veya faal sporcusu bulunmayan kulüplere yardım yapılmaması hususuna riayet edilmekte midir?</v>
          </cell>
          <cell r="B35" t="str">
            <v>Spor Kulüpleri Yön.</v>
          </cell>
          <cell r="C35" t="str">
            <v>md. 35</v>
          </cell>
        </row>
        <row r="36">
          <cell r="A36" t="str">
            <v>Taahhüt ettiği spor dallarında arka arkaya iki sezon faaliyet göstermeyen kulüplere yönelik yazılı uyarı yapılmış mıdır?</v>
          </cell>
          <cell r="B36" t="str">
            <v>Spor Kulüpleri Yön.</v>
          </cell>
          <cell r="C36" t="str">
            <v>md. 33</v>
          </cell>
        </row>
        <row r="37">
          <cell r="A37" t="str">
            <v>Uyarıya rağmen faaliyet göstermeyen kulüplerin tescillerinin iptali için komisyon kararı alınıp Valilik onayına sunulmuş mudur?</v>
          </cell>
          <cell r="B37" t="str">
            <v>Spor Kulüpleri Yön.</v>
          </cell>
          <cell r="C37" t="str">
            <v>md. 33</v>
          </cell>
        </row>
        <row r="38">
          <cell r="A38" t="str">
            <v>Kulüplerin nakdi yardımları taahhüt ettikleri amaçlar doğrultusunda harcayıp harcamadıkları yerinde denetlenmiş midir?</v>
          </cell>
          <cell r="B38" t="str">
            <v>Spor Kulüpleri Yön.</v>
          </cell>
          <cell r="C38" t="str">
            <v>md. 36</v>
          </cell>
        </row>
        <row r="39">
          <cell r="A39" t="str">
            <v>İl spor temsilcilerinin branşlarının geliştirilmesine yönelik sunduğu öneri ve raporlar ilgili dosyada muhafaza ediliyor mu?</v>
          </cell>
          <cell r="B39" t="str">
            <v>İl Spor Dalı Tems. Yön.</v>
          </cell>
          <cell r="C39" t="str">
            <v>md. 8</v>
          </cell>
        </row>
        <row r="40">
          <cell r="A40" t="str">
            <v>Spor kulübü tescil iptal süreçlerinde mevzuatın öngördüğü "iki sezon" kuralı titizlikle takip edilmekte midir?</v>
          </cell>
          <cell r="B40" t="str">
            <v>Spor Kulüpleri Yön.</v>
          </cell>
          <cell r="C40" t="str">
            <v>md. 33</v>
          </cell>
        </row>
        <row r="41">
          <cell r="A41" t="str">
            <v>Yardım alan kulüplerin ibraz ettiği harcama belgelerinin (fatura vb.) yardımın yapıldığı tarihle uyumlu olduğu görülmüş müdür?</v>
          </cell>
          <cell r="B41" t="str">
            <v>Spor Kulüpleri Yön.</v>
          </cell>
          <cell r="C41" t="str">
            <v>md. 37</v>
          </cell>
        </row>
        <row r="42">
          <cell r="A42" t="str">
            <v>Lisanslı sporcu sayısı ile faal sporcu sayısı arasındaki farkın makul seviyede tutulması için gerekli çalışmalar yapılmış mıdır?</v>
          </cell>
        </row>
        <row r="43">
          <cell r="A43" t="str">
            <v>İl genelinde faal olan tüm spor branşları için "İl Temsilcisi" görevlendirmeleri eksiksiz şekilde tamamlanmış mıdır?</v>
          </cell>
          <cell r="B43" t="str">
            <v>İl Spor Dalı Tems.</v>
          </cell>
          <cell r="C43" t="str">
            <v>yön.</v>
          </cell>
        </row>
        <row r="44">
          <cell r="A44" t="str">
            <v>İl Müdürlüğü bünyesinde faal olarak yürütülen branşlarda, müsabakaları yönetecek yeterli sayıda hakem bulunmakta mıdır?</v>
          </cell>
          <cell r="C44" t="str">
            <v>yön.</v>
          </cell>
        </row>
        <row r="45">
          <cell r="A45" t="str">
            <v>Kafile onay belgelerinde; seyahat türü, araç plakası, şoför kimlik ve ehliyet bilgileri mevzuata uygun şekilde belirtilmiş midir?</v>
          </cell>
          <cell r="B45" t="str">
            <v>Spor Faal.</v>
          </cell>
          <cell r="C45" t="str">
            <v>seyahat yönergesi md. 7</v>
          </cell>
        </row>
        <row r="46">
          <cell r="A46" t="str">
            <v>Seyahat türü "Kiralık Araç" olarak belirlenen kafilelerde; kiralama sözleşmesi, fatura ve ödeme belgeleri dosyada mevcut mudur?</v>
          </cell>
          <cell r="B46" t="str">
            <v>Spor Faal.</v>
          </cell>
          <cell r="C46" t="str">
            <v>seyahat yönergesi md. 7</v>
          </cell>
        </row>
        <row r="47">
          <cell r="A47" t="str">
            <v>Kiralık araç kullanılan seyahatlerde, toplu seyahat yolluk bildirimi ile kiralama bedeli arasında mükerrer ödemeye yol açacak beyanlar var mıdır?</v>
          </cell>
          <cell r="B47" t="str">
            <v>Merkezi Yönetim Harcama Bel</v>
          </cell>
          <cell r="C47" t="str">
            <v>yön</v>
          </cell>
        </row>
        <row r="48">
          <cell r="A48" t="str">
            <v>Araç ruhsatı ve şoför evrakları gibi belgelerin fotoğrafı yerine, aslına uygun onaylı suretleri dosyalarda muhafaza ediliyor mu?</v>
          </cell>
          <cell r="B48" t="str">
            <v>Spor Faal.</v>
          </cell>
          <cell r="C48" t="str">
            <v>seyahat yönergesi md. 7</v>
          </cell>
        </row>
        <row r="49">
          <cell r="A49" t="str">
            <v>Reşit olmayan sporcular için "Veli İzin Belgesi" (Ek-3/c) ve seyahat taahhüt belgeleri Spor Şube Müdürlüğünde arşivlenmiş midir?</v>
          </cell>
          <cell r="B49" t="str">
            <v>Spor Faal.</v>
          </cell>
          <cell r="C49" t="str">
            <v>seyahat yönergesi md. 8</v>
          </cell>
        </row>
        <row r="50">
          <cell r="A50" t="str">
            <v>Kafilelerde görevlendirilen kiralık araçların mevzuatta öngörülen "en fazla 7 yaşında olma" şartını taşıdığı kontrol edilmiş midir?</v>
          </cell>
          <cell r="B50" t="str">
            <v>Spor Faal.</v>
          </cell>
          <cell r="C50" t="str">
            <v>seyahat yönergesi md. 9</v>
          </cell>
        </row>
        <row r="51">
          <cell r="A51" t="str">
            <v>Kiralık araçların model yılı bilgileri kafile onay belgelerinde açıkça belirtilmiş midir?</v>
          </cell>
          <cell r="B51" t="str">
            <v>Spor Faal.</v>
          </cell>
          <cell r="C51" t="str">
            <v>seyahat yönergesi md. 9</v>
          </cell>
        </row>
        <row r="52">
          <cell r="A52" t="str">
            <v>Okul sporları faaliyet dosyalarında; müsabaka sonuç listeleri ve derece elde edildiğine dair resmi belgeler yer almakta mıdır?</v>
          </cell>
          <cell r="C52" t="str">
            <v>yön</v>
          </cell>
        </row>
        <row r="53">
          <cell r="A53" t="str">
            <v>"Kendi imkanlarıyla seyahat" edeceği belirtilenlerin iaşe, ibate ve sorumluluklarının kendilerine ait olduğu hususu kayıt altına alınmış mıdır?</v>
          </cell>
          <cell r="B53" t="str">
            <v>Spor Faal.</v>
          </cell>
          <cell r="C53" t="str">
            <v>seyahat yönergesi md. 7</v>
          </cell>
        </row>
        <row r="54">
          <cell r="A54" t="str">
            <v>Spor kafilelerinde görevlendirilen kafile başkanı, idareci ve antrenör sayıları, sporcu sayısına göre belirlenen yasal limitlere uygun mudur?</v>
          </cell>
          <cell r="B54" t="str">
            <v>Spor Faal.</v>
          </cell>
          <cell r="C54" t="str">
            <v>seyahat yön. ek-1/a</v>
          </cell>
        </row>
        <row r="55">
          <cell r="A55" t="str">
            <v>Görev ücreti ödenen personelin, bu görevi asli mesai saatleri dışında ve fiilen yerine getirdiği "Müsabaka Tutanağı" ile belgelenmiş midir?</v>
          </cell>
          <cell r="B55" t="str">
            <v>2011/2863 BKK Esaslar</v>
          </cell>
          <cell r="C55" t="str">
            <v>md. 5</v>
          </cell>
        </row>
        <row r="56">
          <cell r="A56" t="str">
            <v>Personelin aynı gün ve aynı saat dilimi içerisinde birden fazla müsabakada görevli gösterilerek mükerrer ücret alması engellenmiş midir?</v>
          </cell>
          <cell r="B56" t="str">
            <v>2011/2863 BKK Esaslar</v>
          </cell>
          <cell r="C56" t="str">
            <v>md. 5</v>
          </cell>
        </row>
        <row r="57">
          <cell r="A57" t="str">
            <v>Bir günde ödenecek maksimum seans limiti (en fazla 3 seans) ve gece/gündüz ayrımı kurallarına titizlikle riayet edilmekte midir?</v>
          </cell>
          <cell r="B57" t="str">
            <v>2011/2863 BKK Esaslar Tablo</v>
          </cell>
          <cell r="C57" t="str">
            <v>tablo 2,3,4</v>
          </cell>
        </row>
        <row r="58">
          <cell r="A58" t="str">
            <v>Mesai saatleri içerisindeki görevlendirmeler için usulsüz seans ücreti ödenip ödenmediği kontrol edilmiş midir?</v>
          </cell>
          <cell r="C58" t="str">
            <v>esaslar</v>
          </cell>
        </row>
        <row r="59">
          <cell r="A59" t="str">
            <v>Görev listesinde imzası olmayan veya "gelmedi" notu düşülen personele sehven veya kasten ödeme yapılmış mıdır?</v>
          </cell>
          <cell r="B59" t="str">
            <v>2011/2863 BKK Esaslar</v>
          </cell>
          <cell r="C59" t="str">
            <v>md. 5</v>
          </cell>
        </row>
        <row r="60">
          <cell r="A60" t="str">
            <v>Valilik/İl Müdürlüğü Olur'unda ismi bulunmayan kişilere herhangi bir isim altında görev ücreti ödemesi yapılmış mıdır?</v>
          </cell>
          <cell r="C60" t="str">
            <v>esaslar</v>
          </cell>
        </row>
        <row r="61">
          <cell r="A61" t="str">
            <v>Ödeme evrakına eklenen tutanaklarda; faaliyetin adı, yeri, başlangıç ve bitiş saatleri ile görevli personel bilgileri eksiksiz yer alıyor mu?</v>
          </cell>
          <cell r="C61" t="str">
            <v>talimatı</v>
          </cell>
        </row>
        <row r="62">
          <cell r="A62" t="str">
            <v>Personel görevlendirmeleri; tesis kapasitesi, faaliyetin önemi ve tasarruf tedbirleri gözetilerek "makul sayıda" mı tutulmaktadır?</v>
          </cell>
        </row>
        <row r="63">
          <cell r="A63" t="str">
            <v>Görevlendirmelerin sürekli aynı personel/birim üzerinde yoğunlaşması yerine, liyakat ve adaletli dağılım ilkelerine göre yapıldığı görülmüş müdür?</v>
          </cell>
        </row>
        <row r="64">
          <cell r="A64" t="str">
            <v>Hakem ücretlerinin; takım sporlarında müsabaka başına, ferdi sporlarda ise seans başına ödenmesi kuralına uyulmakta mıdır?</v>
          </cell>
          <cell r="C64" t="str">
            <v>esaslar</v>
          </cell>
        </row>
        <row r="65">
          <cell r="A65" t="str">
            <v>Dört saatten az süren müsabakalar için (gece-gündüz birleşse dahi) tek seans ücreti ödenmesi kuralı uygulanıyor mu?</v>
          </cell>
          <cell r="C65" t="str">
            <v>esaslar</v>
          </cell>
        </row>
        <row r="66">
          <cell r="A66" t="str">
            <v>Memuriyet mahalli dışı görevlerde; görev ücreti ile harcırah tutarı kıyaslanarak sadece yüksek olanın ödenmesi kuralına riayet edilmiş midir?</v>
          </cell>
          <cell r="B66" t="str">
            <v xml:space="preserve">2001/2863 BKK Esaslar </v>
          </cell>
          <cell r="C66" t="str">
            <v>md. 12</v>
          </cell>
        </row>
        <row r="67">
          <cell r="A67" t="str">
            <v>Görevlendirilen personele aynı gün için hem gündelik (harcırah) hem de görev ücreti ödenerek mükerrer ödemeye yol açılmış mıdır?</v>
          </cell>
          <cell r="B67" t="str">
            <v xml:space="preserve">2011/2863 BKK Esaslar </v>
          </cell>
          <cell r="C67" t="str">
            <v>md. 12</v>
          </cell>
        </row>
        <row r="68">
          <cell r="A68" t="str">
            <v>Sözleşmeli antrenörlere, hizmet sözleşmesindeki "sözleşme ücreti dışında ödeme yapılamaz" hükmüne aykırı olarak ekstra ücret ödenmiş midir?</v>
          </cell>
          <cell r="B68" t="str">
            <v>7/15754 Sayılı BKK</v>
          </cell>
          <cell r="C68" t="str">
            <v>md. 3</v>
          </cell>
        </row>
        <row r="69">
          <cell r="A69" t="str">
            <v>Sözleşmeli personelin; eğitici veya çalıştırıcı gibi farklı unvanlar adı altında görevlendirilerek usulsüz ödeme alması engellenmiş midir?</v>
          </cell>
        </row>
        <row r="70">
          <cell r="A70" t="str">
            <v>Görevlendirme onaylarında ve müsabaka tutanaklarında, isimlerin üzeri çizilerek yapılan sonradan eklemeler ve yetkisiz paraflar mevcut mudur?</v>
          </cell>
          <cell r="B70" t="str">
            <v>Resmi Yazışma Usul ve Esas.</v>
          </cell>
          <cell r="C70" t="str">
            <v>yön.</v>
          </cell>
        </row>
        <row r="71">
          <cell r="A71" t="str">
            <v>Sonradan (elle) eklenen personelin müsabakada fiilen görev yaptığına dair tevsik edici belgeler ödeme emri dosyasına eklenmiş midir?</v>
          </cell>
          <cell r="B71" t="str">
            <v>Merkezi Yönetim Harcama Belg.</v>
          </cell>
          <cell r="C71" t="str">
            <v>yön.</v>
          </cell>
        </row>
        <row r="72">
          <cell r="A72" t="str">
            <v>Personelin asli görevi kapsamındaki denetim faaliyetleri için (ayrıca bir unvan ihdas edilerek) usulsüz görev ücreti ödenmiş midir?</v>
          </cell>
          <cell r="B72" t="str">
            <v>2001/2863 BKK Esaslar</v>
          </cell>
          <cell r="C72" t="str">
            <v>md. 2</v>
          </cell>
        </row>
        <row r="73">
          <cell r="A73" t="str">
            <v>İl Spor Merkezlerindeki antrenörlerin denetimi, usulüne uygun şekilde "Organizasyon ve Düzenleme Kurulu" ile "Teknik Kurul" tarafından mı yapılıyor?</v>
          </cell>
          <cell r="C73" t="str">
            <v>yönergesi</v>
          </cell>
        </row>
        <row r="74">
          <cell r="A74" t="str">
            <v>Organizasyon ve Düzenleme Kurulu üyesi olan şube müdürlerine, asli görevleri olan denetim faaliyeti için ek bir ücret ödemesi yapılmış mıdır?</v>
          </cell>
          <cell r="C74" t="str">
            <v>yönergesi</v>
          </cell>
        </row>
        <row r="75">
          <cell r="A75" t="str">
            <v>Mevzuatta "denetim" görevi tanımlanmayan Sicil Lisans ve Spor Kulüpleri Şube Müdürüne denetim adı altında görev ücreti tahakkuk ettirilmiş midir?</v>
          </cell>
          <cell r="C75" t="str">
            <v>yönergesi</v>
          </cell>
        </row>
        <row r="76">
          <cell r="A76" t="str">
            <v>Gençlik Merkezi müdür ve personelinin, merkezin kuruluş amacı gereği yürüttüğü denetim faaliyetleri için ek ücret alması engellenmiş midir?</v>
          </cell>
          <cell r="C76" t="str">
            <v>yönetmeliği</v>
          </cell>
        </row>
        <row r="77">
          <cell r="A77" t="str">
            <v>Görevlendirme onaylarında; 2001/2863 sayılı BKK ekli tablolarında yer almayan "Denetmen" veya "Koordinatör" gibi norm dışı unvanlar kullanılmış mıdır?</v>
          </cell>
          <cell r="B77" t="str">
            <v xml:space="preserve">2001/2863 BKK Esaslar </v>
          </cell>
          <cell r="C77" t="str">
            <v>md. 16</v>
          </cell>
        </row>
        <row r="78">
          <cell r="A78" t="str">
            <v>Tesis amiri veya antrenörün halihazırda görevli olduğu saatlerde, ayrıca bir "denetmen" görevlendirilerek kamu kaynağı israfına yol açılmış mıdır?</v>
          </cell>
        </row>
        <row r="79">
          <cell r="A79" t="str">
            <v>Denetim ücretleri, fiili çalışma saatine bakılmaksızın maktu olarak (her ay standart 32 saat üzerinden vb.) mı ödenmektedir?</v>
          </cell>
          <cell r="B79" t="str">
            <v>2001/2863 BKK Esaslar</v>
          </cell>
          <cell r="C79" t="str">
            <v>md. 5</v>
          </cell>
        </row>
        <row r="80">
          <cell r="A80" t="str">
            <v>İl ve İlçe Müdürlerinin asli yönetim görevleri kapsamında yaptıkları tesis ziyaretleri için "denetim ücreti" adı altında ödeme yapılmış mıdır?</v>
          </cell>
          <cell r="B80" t="str">
            <v>2001/2863 BKK Esaslar</v>
          </cell>
          <cell r="C80" t="str">
            <v>md. 2</v>
          </cell>
        </row>
        <row r="81">
          <cell r="A81" t="str">
            <v>İl Spor Merkezleri Teknik Kurulu, antrenör programlarının uygulanmasını günlük/haftalık olarak takip edip dosyalamakta mıdır?</v>
          </cell>
          <cell r="B81" t="str">
            <v>İl Spor Merkezleri Yön.</v>
          </cell>
          <cell r="C81" t="str">
            <v>md. 4</v>
          </cell>
        </row>
        <row r="82">
          <cell r="A82" t="str">
            <v>Görevlendirme onaylarında yer alan unvanların, BKK ekli tablolarındaki  unvanlarla birebir örtüştüğü görülmüş müdür?</v>
          </cell>
          <cell r="B82" t="str">
            <v xml:space="preserve">2001/2863 BKK Esaslar </v>
          </cell>
          <cell r="C82" t="str">
            <v>md. 16</v>
          </cell>
        </row>
        <row r="83">
          <cell r="A83" t="str">
            <v>657 sayılı Kanuna tabi antrenörlerin, amatör spor kulüplerinde maddi menfaat karşılığı çalışıp çalışmadığı denetlenmekte midir?</v>
          </cell>
          <cell r="B83" t="str">
            <v xml:space="preserve">657 Sayılı Kanun </v>
          </cell>
          <cell r="C83" t="str">
            <v>md. 28</v>
          </cell>
        </row>
        <row r="84">
          <cell r="A84" t="str">
            <v>Antrenörlerin; tacir, esnaf veya ticari şirket ortağı gibi ticaret yasağı kapsamındaki faaliyetlerde bulunup bulunmadığı tespit edilmiş midir?</v>
          </cell>
          <cell r="B84" t="str">
            <v xml:space="preserve">657 Sayılı Kanun </v>
          </cell>
          <cell r="C84" t="str">
            <v>md. 28</v>
          </cell>
        </row>
        <row r="85">
          <cell r="A85" t="str">
            <v>Ticari veya kazanç getirici faaliyette bulunduğu saptanan personel hakkında, ivedilikle disiplin soruşturması başlatılmış mıdır?</v>
          </cell>
          <cell r="B85" t="str">
            <v>657 Sayılı Kanun M</v>
          </cell>
          <cell r="C85" t="str">
            <v>md. 125</v>
          </cell>
        </row>
        <row r="86">
          <cell r="A86" t="str">
            <v>Sporcu Eğitim Merkezlerinde (SEM); antrenör, psikolog ve belletmen gibi zorunlu personelin görevlendirmeleri tam mıdır?</v>
          </cell>
          <cell r="C86" t="str">
            <v>md. 7</v>
          </cell>
        </row>
        <row r="87">
          <cell r="A87" t="str">
            <v>SEM sporcularına yönelik psikoloji, NLP veya mental eğitim destekleri haftada en az bir saat olacak şekilde düzenli sağlanıyor mu?</v>
          </cell>
          <cell r="C87" t="str">
            <v>md. 7</v>
          </cell>
        </row>
        <row r="88">
          <cell r="A88" t="str">
            <v>Eğitim ve öğretim yılı sonunda, merkezdeki çalışmalara ilişkin Daire Başkanlığınca belirlenen formatta rapor hazırlanmış mıdır?</v>
          </cell>
          <cell r="C88" t="str">
            <v>md. 28</v>
          </cell>
        </row>
        <row r="89">
          <cell r="A89" t="str">
            <v>Sporcu öğrencilerin sportif başarı, sağlık, performans ve test ölçümlerine ait bilgiler her yıl düzenli olarak dosyalanmakta mıdır?</v>
          </cell>
          <cell r="C89" t="str">
            <v>md. 18</v>
          </cell>
        </row>
        <row r="90">
          <cell r="A90" t="str">
            <v>Sayıştay denetim bulguları doğrultusunda, ticaret yasağına aykırı çalışan personelin tespitine yönelik İl Müdürlüğünce yapılan işlemler belgeli midir?</v>
          </cell>
        </row>
        <row r="91">
          <cell r="A91" t="str">
            <v>Sportif faaliyet giderlerine ait harcama belgelerine (gider fişlerine); federasyon onaylı faaliyet programı veya reglaman eklenmiş midir?</v>
          </cell>
          <cell r="B91" t="str">
            <v>GSB Taşra Bütçe ve Muhasebe Yön.</v>
          </cell>
          <cell r="C91" t="str">
            <v>md. 19</v>
          </cell>
        </row>
        <row r="92">
          <cell r="A92" t="str">
            <v>Yangın söndürme cihazlarının yıllık genel kontrolleri yapılarak, dördüncü yıl sonunda hidrostatik testleri ve dolum işlemleri gerçekleştirilmiş midir?</v>
          </cell>
          <cell r="B92" t="str">
            <v>Yangın Önleme ve Sön. Tal.</v>
          </cell>
          <cell r="C92" t="str">
            <v>md. 47/6</v>
          </cell>
        </row>
        <row r="93">
          <cell r="A93" t="str">
            <v>Bakıma alınan yangın söndürme cihazlarının yerine, aynı özellik ve sayıda yedek cihazların geçici olarak bırakıldığı görülmüş müdür?</v>
          </cell>
          <cell r="B93" t="str">
            <v>Yangın Önleme ve Sön. Tal.</v>
          </cell>
          <cell r="C93" t="str">
            <v>md. 47/6</v>
          </cell>
        </row>
        <row r="94">
          <cell r="A94" t="str">
            <v>Taşınabilir söndürme tüpleri; yerden yüksekliği 90 cm'yi aşmayacak şekilde, kolayca alınabilecek askı aparatları ile duvara monte edilmiş midir?</v>
          </cell>
          <cell r="B94" t="str">
            <v>Binaların Yangından Kor. Yön.</v>
          </cell>
          <cell r="C94" t="str">
            <v>md. 99/5</v>
          </cell>
        </row>
        <row r="95">
          <cell r="A95" t="str">
            <v>Cihazlar üzerinde, periyodik bakım ve dolum tarihlerini gösteren takip etiketlerinin güncel ve eksiksiz olduğu saptanmış mı?</v>
          </cell>
          <cell r="B95" t="str">
            <v>Binaların Yangından Kor. Yön.</v>
          </cell>
          <cell r="C95" t="str">
            <v>md. 99/5</v>
          </cell>
        </row>
        <row r="96">
          <cell r="A96" t="str">
            <v>Yurt katlarındaki yangın dolaplarında bulunması gereken tüplerin tam ve kullanıma hazır olduğu doğrulanmış mıdır?</v>
          </cell>
          <cell r="C96" t="str">
            <v>yön.</v>
          </cell>
        </row>
        <row r="97">
          <cell r="A97" t="str">
            <v>Nöbet odalarında; acil durum telefon listesi, nöbet çizelgeleri ve ilgili talimatların (Özel ve Gece Hiz. vb.) asılı olduğu görülmüş müdür?</v>
          </cell>
          <cell r="B97" t="str">
            <v>Özel ve Gece Hiz.</v>
          </cell>
          <cell r="C97" t="str">
            <v>usul ve esaslar md. 10</v>
          </cell>
        </row>
        <row r="98">
          <cell r="A98" t="str">
            <v>Yurt müdürü, nöbetçi memur olarak görevli olmadığı hallerde, en az on günde bir yurdu mesai dışı veya gece denetlemiş midir?</v>
          </cell>
          <cell r="B98" t="str">
            <v>Özel ve Gece Hiz.</v>
          </cell>
          <cell r="C98" t="str">
            <v>usul ve esaslar md. 7</v>
          </cell>
        </row>
        <row r="99">
          <cell r="A99" t="str">
            <v>Yapılan gece denetimlerine ilişkin bulguların ve ziyaret saatlerinin nöbet defterine usulüne uygun işlendiği anlaşılmış mıdır?</v>
          </cell>
          <cell r="B99" t="str">
            <v>Özel ve Gece Hiz.</v>
          </cell>
          <cell r="C99" t="str">
            <v>usul ve esaslar md. 7</v>
          </cell>
        </row>
        <row r="100">
          <cell r="A100" t="str">
            <v>Acil çıkış noktalarına yönlendiren yeşil zemin üzerine beyaz renkli standartlara uygun "ACİL ÇIKIŞ" levhaları mevcut mudur?</v>
          </cell>
          <cell r="B100" t="str">
            <v>Yangın Önleme ve Sön. Tal.</v>
          </cell>
          <cell r="C100" t="str">
            <v>md. 33/3</v>
          </cell>
        </row>
        <row r="101">
          <cell r="A101" t="str">
            <v>Lokanta-kantin işletmesinden her gün alınan yemek numunelerinin en az 300 gram olduğu ve sterilize kaplarda alındığı görülmüş müdür?</v>
          </cell>
          <cell r="B101" t="str">
            <v>Küçük İşletmelere İlişkin Usul Esas.</v>
          </cell>
          <cell r="C101" t="str">
            <v>md. 20/d</v>
          </cell>
        </row>
        <row r="102">
          <cell r="A102" t="str">
            <v>Alınan yemek numuneleri, işletme deposu yerine yurt idaresince belirlenen nöbet odasındaki buzdolabında 72 saat muhafaza ediliyor mu?</v>
          </cell>
          <cell r="B102" t="str">
            <v>Küçük İşletmelere İlişkin Usul Esas.</v>
          </cell>
          <cell r="C102" t="str">
            <v>md. 20/d</v>
          </cell>
        </row>
        <row r="103">
          <cell r="A103" t="str">
            <v>Kamera kayıt sistemi şifre veya kod sistemiyle korunarak, yetkisiz kişilerin arşivlenmiş kayıtlara erişimi engellenmiş midir?</v>
          </cell>
          <cell r="B103" t="str">
            <v>Yurtlarda Alınacak Tedbirler Usul Esas.</v>
          </cell>
          <cell r="C103" t="str">
            <v>md. 10/5</v>
          </cell>
        </row>
        <row r="104">
          <cell r="A104" t="str">
            <v>Öğrenci odalarında bulunan elbise dolapları ile deprem anında devrilebilecek diğer tüm eşyaların duvara sabitlemesi yapılmış mıdır?</v>
          </cell>
          <cell r="B104" t="str">
            <v>Yurtlarda Alınacak Tedbirler Usul Esas.</v>
          </cell>
          <cell r="C104" t="str">
            <v>md. 10/7</v>
          </cell>
        </row>
        <row r="105">
          <cell r="A105" t="str">
            <v>Yurt müdürlüğünde sivil savunma ekipmanları oluşturulmuş ve periyodik yangın tatbikatları gerçekleştirilmiş midir?</v>
          </cell>
          <cell r="B105" t="str">
            <v>Yurtlarda Alınacak Tedbirler Usul</v>
          </cell>
          <cell r="C105" t="str">
            <v>esas.</v>
          </cell>
        </row>
        <row r="106">
          <cell r="A106" t="str">
            <v>Güvenlik ve kontrol noktalarında, acil durum numarası güncel "112" olarak ve talimata uygun görsel standartta belirtilmiş midir?</v>
          </cell>
          <cell r="B106" t="str">
            <v>Binaların Yangından Kor. Yön.</v>
          </cell>
          <cell r="C106" t="str">
            <v>md. 7/2</v>
          </cell>
        </row>
        <row r="107">
          <cell r="A107" t="str">
            <v>Yurt katlarında mevzuat uyarınca asılı bulunması gereken "Yangın Önleme ve Söndürme Talimatı Kılavuzları" mevcut mudur?</v>
          </cell>
          <cell r="B107" t="str">
            <v>Yangın Önleme ve Sön. Tal.</v>
          </cell>
          <cell r="C107" t="str">
            <v>md. 7/b</v>
          </cell>
        </row>
        <row r="108">
          <cell r="A108" t="str">
            <v>Yurt çevresini saran ihata duvarı ve tel örgülerin; kontrol dışı girişleri engelleyecek (jiletli tel vb.) fiziki yeterlilikte olduğu görülmüş müdür?</v>
          </cell>
          <cell r="B108" t="str">
            <v>Yurtlarda Alınacak Tedbirler Usul Esas.</v>
          </cell>
          <cell r="C108" t="str">
            <v>md. 10/6-7</v>
          </cell>
        </row>
        <row r="109">
          <cell r="A109" t="str">
            <v>İhata duvarlarında zemin veya yapı kaynaklı çökme/yıkılma gibi güvenlik zafiyeti oluşturacak fiziki hasarlar mevcut mudur?</v>
          </cell>
          <cell r="B109" t="str">
            <v>Yurtlarda Alınacak Tedbirler Usul Esas.</v>
          </cell>
          <cell r="C109" t="str">
            <v>md. 10</v>
          </cell>
        </row>
        <row r="110">
          <cell r="A110" t="str">
            <v>Yurt binalarındaki blokların her birinde, mevzuatın öngördüğü şekilde en az iki adet korunmuş çıkış yolu/kapısı tesis edilmiş midir?</v>
          </cell>
          <cell r="B110" t="str">
            <v>Binaların Yangından Kor. Yön.</v>
          </cell>
          <cell r="C110" t="str">
            <v>md. 39</v>
          </cell>
        </row>
        <row r="111">
          <cell r="A111" t="str">
            <v>Kaçış yolu kapıları, kaçış yönüne (dışa) doğru açılacak şekilde ve kullanıcı hareketini engellemeyecek biçimde monte edilmiş midir?</v>
          </cell>
          <cell r="B111" t="str">
            <v>Yangın Önleme ve Sön. Tal.</v>
          </cell>
          <cell r="C111" t="str">
            <v>md. 22/2</v>
          </cell>
        </row>
        <row r="112">
          <cell r="A112" t="str">
            <v>Acil çıkış kapılarının el ile kolayca açılabilir durumda olduğu ve kilitli tutulmadığı tespit edilmiş midir?</v>
          </cell>
          <cell r="B112" t="str">
            <v>Yangın Önleme ve Sön. Tal.</v>
          </cell>
          <cell r="C112" t="str">
            <v>md. 22/2</v>
          </cell>
        </row>
        <row r="113">
          <cell r="A113" t="str">
            <v>Merdiven basamaklarında kaymayı önleyici malzeme (bant vb.) kullanılarak düşme riskine karşı önlem alınmış mıdır?</v>
          </cell>
          <cell r="B113" t="str">
            <v>Yangın Önleme ve Sön. Tal.</v>
          </cell>
          <cell r="C113" t="str">
            <v>md. 22/2</v>
          </cell>
        </row>
        <row r="114">
          <cell r="A114" t="str">
            <v>Bina girişinde ve itfaiyenin kolayca ulaşabileceği bir noktada; kaçış yollarını ve yangın donatılarını gösteren renkli "Yangın Tahliye Projesi" mevcut mudur?</v>
          </cell>
          <cell r="B114" t="str">
            <v>Yangın Önleme ve Sön. Yön.</v>
          </cell>
          <cell r="C114" t="str">
            <v>md. 7/4</v>
          </cell>
        </row>
        <row r="115">
          <cell r="A115" t="str">
            <v>Her katta, tahliye anında panikleyenlere yardım etmek ve odaları kontrol etmekle sorumlu bir "Kat Tahliye Görevlisi" belirlenmiş midir?</v>
          </cell>
          <cell r="B115" t="str">
            <v>Yurtlarda Alınacak Tedbirler Usul Esas.</v>
          </cell>
          <cell r="C115" t="str">
            <v>md. 10/6</v>
          </cell>
        </row>
        <row r="116">
          <cell r="A116" t="str">
            <v>Bir kat alanı 2000 m²’den fazla olan yurtlarda, tahliye projeleri mimari projeden ayrı olarak ruhsat vermeye yetkili mercilere onaylatılmış mıdır?</v>
          </cell>
          <cell r="B116" t="str">
            <v>Binaların Yangından Kor. Yön.</v>
          </cell>
          <cell r="C116" t="str">
            <v>md. 6/4</v>
          </cell>
        </row>
        <row r="117">
          <cell r="A117" t="str">
            <v>Acil durum asansörleri, yangın pompaları ve jeneratör yerlerinin Tahliye Planı üzerinde güncel ve doğru işaretlendiği görülmüş müdür?</v>
          </cell>
          <cell r="B117" t="str">
            <v>GSB Yangın Önleme ve Sön. Tal.</v>
          </cell>
          <cell r="C117" t="str">
            <v>md. 6/1-ç</v>
          </cell>
        </row>
        <row r="118">
          <cell r="A118" t="str">
            <v>Her ay düzenli olarak yapılan periyodik bina kontrolleri, "Periyodik Bina Kontrol Çizelgesi"ne işlenerek İl Müdürlüğüne gönderilmekte midir?</v>
          </cell>
          <cell r="B118" t="str">
            <v xml:space="preserve">Bakım Onarım Talimatı </v>
          </cell>
          <cell r="C118" t="str">
            <v>md. 12</v>
          </cell>
        </row>
        <row r="119">
          <cell r="A119" t="str">
            <v>Bina kontrol çizelgeleri; yetkili teknisyenler tarafından yerinde inceleme yapılarak imzalanmış mıdır? (Taşınır sorumlusu imzasıyla tanzim edilmediği görülmüş müdür?)</v>
          </cell>
          <cell r="B119" t="str">
            <v xml:space="preserve">Bakım Onarım Talimatı </v>
          </cell>
          <cell r="C119" t="str">
            <v>md. 12</v>
          </cell>
        </row>
        <row r="120">
          <cell r="A120" t="str">
            <v>Nöbet hizmetine katılan tüm personelin, geçerli bir "İlkyardımcı Belgesi"ne sahip olduğu ve belgelerin güncelliği saptanmış mıdır?</v>
          </cell>
          <cell r="B120" t="str">
            <v>Sağlık Bak. İlk Yardım Yön. / GSB Usul Esas.</v>
          </cell>
          <cell r="C120" t="str">
            <v>md. 5</v>
          </cell>
        </row>
        <row r="121">
          <cell r="A121" t="str">
            <v>Belge geçerlilik süresi dolan personelin, Sağlık Bakanlığı mevzuatına uygun olarak güncelleme eğitimlerine gönderilmesi sağlanmış mıdır?</v>
          </cell>
          <cell r="B121" t="str">
            <v>Yurtlarda Alınacak Tedbirler Usul Esas.</v>
          </cell>
          <cell r="C121" t="str">
            <v>md. 5/2</v>
          </cell>
        </row>
        <row r="122">
          <cell r="A122" t="str">
            <v>Meydana gelebilecek yangın, doğal afet veya sabotaj durumları için hazırlanan "Bina Tahliye Planı" katlarda ilan edilmiş midir?</v>
          </cell>
          <cell r="B122" t="str">
            <v>Yurtlarda Alınacak Tedbirler Usul Esas.</v>
          </cell>
          <cell r="C122" t="str">
            <v>md. 10/3</v>
          </cell>
        </row>
        <row r="123">
          <cell r="A123" t="str">
            <v>Yurt binalarında; temizlik personeli odası, malzeme deposu ve idari personelin kullanımı için uygun/yeterli alanlar ayrılmış mıdır?</v>
          </cell>
          <cell r="B123" t="str">
            <v>Yurtlarda Alınacak Tedbirler Usul</v>
          </cell>
          <cell r="C123" t="str">
            <v>esas.</v>
          </cell>
        </row>
        <row r="124">
          <cell r="A124" t="str">
            <v>Öğrenci odası olarak kullanılan tüm mekânların içerisinde, standartlara uygun müstakil WC ve banyo alanı mevcut mudur?</v>
          </cell>
          <cell r="B124" t="str">
            <v>Yurtlarda Alınacak Tedbirler Usu</v>
          </cell>
          <cell r="C124" t="str">
            <v>esas</v>
          </cell>
        </row>
        <row r="125">
          <cell r="A125" t="str">
            <v>Yangın merdivenleri, kullanıcıyı çıkmaz alanlara (bodrum/depo) yönlendirmeksizin doğrudan tabii zemin seviyesindeki güvenli alana açılıyor mu?</v>
          </cell>
          <cell r="B125" t="str">
            <v>Binaların Yangından Kor. Yön.</v>
          </cell>
          <cell r="C125" t="str">
            <v>md. 30/5</v>
          </cell>
        </row>
        <row r="126">
          <cell r="A126" t="str">
            <v>Çıkış niteliği taşımayan kapılar, kullanıcıyı yanıltmayacak şekilde işaretlenmiş veya gerçek çıkışlarla karışmayacak şekilde düzenlenmiş midir?</v>
          </cell>
          <cell r="B126" t="str">
            <v>Binaların Yangından Kor. Yön.</v>
          </cell>
          <cell r="C126" t="str">
            <v>md. 30/5</v>
          </cell>
        </row>
        <row r="127">
          <cell r="A127" t="str">
            <v>Kaçış yolu kapılarının temiz genişliğinin en az 80 cm, yüksekliğinin ise en az 200 cm olduğu ve eşik bulunmadığı doğrulanmış mıdır?</v>
          </cell>
          <cell r="B127" t="str">
            <v>Binaların Yangından Kor. Yön.</v>
          </cell>
          <cell r="C127" t="str">
            <v>md. 47</v>
          </cell>
        </row>
        <row r="128">
          <cell r="A128" t="str">
            <v>Yurt bünyesinde hizmet veren kantin, lokanta ve berber personeline ait "Hijyen Eğitim Belgeleri" dosyasında mevcut ve güncel midir?</v>
          </cell>
          <cell r="B128" t="str">
            <v>Küçük İşletmelere İlişkin Usul Esas.</v>
          </cell>
          <cell r="C128" t="str">
            <v>md. 17</v>
          </cell>
        </row>
        <row r="129">
          <cell r="A129" t="str">
            <v>İşletici ve çalışanların; adli sicil kaydı, ikametgâh ve nüfus cüzdanı örnekleri yurdun açılışından itibaren 7 gün içinde teslim alınmış mıdır?</v>
          </cell>
          <cell r="B129" t="str">
            <v>Küçük İşletmelere İlişkin Usul Esas.</v>
          </cell>
          <cell r="C129" t="str">
            <v>md. 17</v>
          </cell>
        </row>
        <row r="130">
          <cell r="A130" t="str">
            <v>Yangın çıkış kapılarının duman sızdırmazlık ve yangına dayanıklılık gibi teknik "Yangın Kapısı" niteliklerini taşıdığı saptanmış mıdır?</v>
          </cell>
          <cell r="B130" t="str">
            <v>Binaların Yangından Kor. Yön.</v>
          </cell>
          <cell r="C130" t="str">
            <v>md. 47</v>
          </cell>
        </row>
        <row r="131">
          <cell r="A131" t="str">
            <v>Yatak kapasitesi 200'ü geçen veya yapı yüksekliği 21.50 m'yi aşan yurt binalarında otomatik yağmurlama (sprinkler) sistemi kurulmuş mudur?</v>
          </cell>
          <cell r="B131" t="str">
            <v>Binaların Yangından Kor. Yön.</v>
          </cell>
          <cell r="C131" t="str">
            <v>md. 96/2</v>
          </cell>
        </row>
        <row r="132">
          <cell r="A132" t="str">
            <v>Yağmurlama sistemi elemanlarının (başlıklar, borular, pompalar vb.) TS EN 12259 standartlarına uygun olduğu saptanmış mıdır?</v>
          </cell>
          <cell r="B132" t="str">
            <v>Binaların Yangından Kor. Yön.</v>
          </cell>
          <cell r="C132" t="str">
            <v>md. 96/1</v>
          </cell>
        </row>
        <row r="133">
          <cell r="A133" t="str">
            <v>Birinci ve ikinci derece deprem bölgelerinde, sprinkler sistemi borularının kırılmasını önleyecek sismik sabitleme ve esnek bağlantılar mevcut mudur?</v>
          </cell>
          <cell r="B133" t="str">
            <v>Binaların Yangından Kor. Yön.</v>
          </cell>
          <cell r="C133" t="str">
            <v>md. 96/6</v>
          </cell>
        </row>
        <row r="134">
          <cell r="A134" t="str">
            <v>Olası hasarlarda sistemin sürekliliğini sağlamak için en az 6 adet yedek yağmurlama başlığı ve özel değişim anahtarı bulunduruluyor mu?</v>
          </cell>
          <cell r="B134" t="str">
            <v>Binaların Yangından Kor. Yön.</v>
          </cell>
          <cell r="C134" t="str">
            <v>md. 96/8</v>
          </cell>
        </row>
        <row r="135">
          <cell r="A135" t="str">
            <v>Sistemdeki kesme vanalarının ve bölgesel kontrol vanalarının devamlı açık kalmasını sağlayacak teknik tedbirler alınmış mıdır?</v>
          </cell>
          <cell r="B135" t="str">
            <v>Binaların Yangından Kor. Yön.</v>
          </cell>
          <cell r="C135" t="str">
            <v>md. 96/9</v>
          </cell>
        </row>
        <row r="136">
          <cell r="A136" t="str">
            <v>Basınç düşürücü vana kullanılan sistemlerde, her bir vananın önüne ve arkasına basınç takibi için manometre konulmuş mudur?</v>
          </cell>
          <cell r="B136" t="str">
            <v>Binaların Yangından Kor. Yön.</v>
          </cell>
          <cell r="C136" t="str">
            <v>md. 96/10</v>
          </cell>
        </row>
        <row r="137">
          <cell r="A137" t="str">
            <v>Öğrencilerin büyük eşyalarını (bavul, valiz vb.) güvenle teslim edebilecekleri, mevzuata uygun düzenlenmiş bir "Valiz Odası" mevcut mudur?</v>
          </cell>
          <cell r="B137" t="str">
            <v>Yurtlarda Alınacak Tedbirler Usul Esas.</v>
          </cell>
          <cell r="C137" t="str">
            <v>md. 11/d</v>
          </cell>
        </row>
        <row r="138">
          <cell r="A138" t="str">
            <v>Valiz odasına teslim edilen eşyaların kayıt altına alındığı ve odanın güvenliğinin sağlandığı görülmüş müdür?</v>
          </cell>
          <cell r="B138" t="str">
            <v>Yurtlarda Alınacak Tedbirler Usul Esas.</v>
          </cell>
          <cell r="C138" t="str">
            <v>md. 11</v>
          </cell>
        </row>
        <row r="139">
          <cell r="A139" t="str">
            <v>Kazan dairesinde en az bir adet 6 kg’lık kuru kimyevi tozlu yangın söndürme cihazı ve büyük kazan dairelerinde yangın dolabı mevcut mudur?</v>
          </cell>
          <cell r="B139" t="str">
            <v>Binaların Yangından Kor. Yön.</v>
          </cell>
          <cell r="C139" t="str">
            <v>md. 54/8</v>
          </cell>
        </row>
        <row r="140">
          <cell r="A140" t="str">
            <v>İşletme personelinin; lavabolarda sıvı sabun, dezenfektan ve havlu kağıt kullanımı ile bone, kolluk, eldiven disiplinine uyduğu görülmüş müdür?</v>
          </cell>
          <cell r="B140" t="str">
            <v>Lokanta-Kantin İşletme Söz.</v>
          </cell>
          <cell r="C140" t="str">
            <v>md. 21/l</v>
          </cell>
        </row>
        <row r="141">
          <cell r="A141" t="str">
            <v>Mutfak zemininin yağsız/kaymaz olduğu, duvar fayanslarının sağlamlığı ve çöp kovalarının kapaklı olduğu saptanmış mıdır?</v>
          </cell>
          <cell r="C141" t="str">
            <v>standartları</v>
          </cell>
        </row>
        <row r="142">
          <cell r="A142" t="str">
            <v>Asansörlerin periyodik muayene sonucunu gösteren güncel yeşil veya mavi etiketleri mevcut mudur?</v>
          </cell>
          <cell r="B142" t="str">
            <v>Asansör İşletme ve Bakım Yönet</v>
          </cell>
          <cell r="C142" t="str">
            <v>yönetmeliği</v>
          </cell>
        </row>
        <row r="143">
          <cell r="A143" t="str">
            <v>Engelli odaları amacı dışında (manevi danışman odası vb.) kullanılıyor mu? Lavabolarda engelli öğrenci için duş oturağı mevcut mudur?</v>
          </cell>
          <cell r="B143" t="str">
            <v>Erişilebilirlik Mevzuatı / GSB Usul</v>
          </cell>
          <cell r="C143" t="str">
            <v>esas.</v>
          </cell>
        </row>
        <row r="144">
          <cell r="A144" t="str">
            <v>Bina dış güvenliğinde metal detektörü mevcut mu? Engelli rampalarında yıpranmamış kaydırmaz bantlar bulunmakta mıdır?</v>
          </cell>
          <cell r="B144" t="str">
            <v>Yurtlarda Alınacak Tedbirler Usul Esas.</v>
          </cell>
          <cell r="C144" t="str">
            <v>md. 10</v>
          </cell>
        </row>
        <row r="145">
          <cell r="A145" t="str">
            <v>Kazan dairesi girişinde gıda maddesi (süt vb.) bekletilmesi engellenmiş mi? Otomasyon sistemi faal midir?</v>
          </cell>
          <cell r="B145" t="str">
            <v>Binaların Yangından Kor. Yön.</v>
          </cell>
          <cell r="C145" t="str">
            <v>yön. / iş sağlığı güv.</v>
          </cell>
        </row>
        <row r="146">
          <cell r="A146" t="str">
            <v>Binanın bodrum katından su alması sonucu oluşan çürüme, oksitlenme ve kapı kirişlerindeki hasarlar için önlem alınmış mıdır?</v>
          </cell>
          <cell r="C146" t="str">
            <v>talimatı</v>
          </cell>
        </row>
        <row r="147">
          <cell r="A147" t="str">
            <v>Haşerelere karşı periyodik ilaçlama işlemleri zamanında yapılarak kayıt altına alınmakta mıdır?</v>
          </cell>
          <cell r="C147" t="str">
            <v>standartları</v>
          </cell>
        </row>
        <row r="148">
          <cell r="A148" t="str">
            <v>Sistem odasındaki kabloların zeminle teması kesilerek olası su baskınlarına karşı güvenlik önlemi alınmış mıdır?</v>
          </cell>
          <cell r="B148" t="str">
            <v>İş Sağlığı ve Güvenliği Me</v>
          </cell>
          <cell r="C148" t="str">
            <v>mevzuatı</v>
          </cell>
        </row>
        <row r="149">
          <cell r="A149" t="str">
            <v>Yangın merdiveni aydınlatmaları, elektrik kesintisinde otomatik devreye girecek acil durum kiti ile donatılmış mıdır?</v>
          </cell>
          <cell r="C149" t="str">
            <v>yön.</v>
          </cell>
        </row>
        <row r="150">
          <cell r="A150" t="str">
            <v>Sığınak olarak belirlenen mahallerin depo olarak kullanılması engellenmiş mi? Binada yedek güç kaynağı (jeneratör) mevcut mudur?</v>
          </cell>
          <cell r="B150" t="str">
            <v>Sığınak Yönetmeliği / Yangı</v>
          </cell>
          <cell r="C150" t="str">
            <v>yön.</v>
          </cell>
        </row>
        <row r="151">
          <cell r="A151" t="str">
            <v>Merdiven boşluklarında güvenlik filesi, pencerelerde ve balkonlarda düşmeyi önleyici emniyet tedbirleri alınmış mıdır?</v>
          </cell>
          <cell r="B151" t="str">
            <v>Yurtlarda Alınacak Tedbirler Usul</v>
          </cell>
          <cell r="C151" t="str">
            <v>esas.</v>
          </cell>
        </row>
        <row r="152">
          <cell r="A152" t="str">
            <v>Soğuk hava depolarında, personelin içeride kilitli kalmasını önleyici ışıklı/sesli alarm sistemi faal midir?</v>
          </cell>
          <cell r="C152" t="str">
            <v>standartları</v>
          </cell>
        </row>
        <row r="153">
          <cell r="A153" t="str">
            <v>Gıda maddelerinin zemin ve duvarla teması kesilerek; raf ve paletlerin yerden/duvardan en az 15 cm mesafede olduğu görülmüş müdür?</v>
          </cell>
          <cell r="C153" t="str">
            <v>standartları</v>
          </cell>
        </row>
        <row r="154">
          <cell r="A154" t="str">
            <v>Depolarda gıda muhafazasında gazete veya naylon poşet gibi mevzuata aykırı malzeme kullanımı engellenmiş midir?</v>
          </cell>
          <cell r="C154" t="str">
            <v>standartları</v>
          </cell>
        </row>
        <row r="155">
          <cell r="A155" t="str">
            <v>Açılan paketli ürünlerin etiket bilgileri (SKT, marka, içerik) ürün bitene kadar muhafaza edilmekte midir?</v>
          </cell>
          <cell r="C155" t="str">
            <v>standartları</v>
          </cell>
        </row>
        <row r="156">
          <cell r="A156" t="str">
            <v>Kantinde satışa sunulan tüm ürünlerde; alış/satış fiyatı ve fatura tarihini gösteren onaylı etiketler mevcut mudur?</v>
          </cell>
          <cell r="B156" t="str">
            <v>Lokanta-Kantin İşletme Söz.</v>
          </cell>
          <cell r="C156" t="str">
            <v>md. 21/g</v>
          </cell>
        </row>
        <row r="157">
          <cell r="A157" t="str">
            <v>Öğrenci çamaşırhanesinde kullanımın takibi için "Çamaşır/Nevresim Çizelgesi" düzenli olarak tutulmakta mıdır?</v>
          </cell>
          <cell r="B157" t="str">
            <v>Yurtlarda Alınacak Tedbirler Usul</v>
          </cell>
          <cell r="C157" t="str">
            <v>esas.</v>
          </cell>
        </row>
        <row r="158">
          <cell r="A158" t="str">
            <v>Bir anda 100’den fazla kişiye hizmet veren mutfaklarda; davlumbaz içi otomatik söndürme ve gaz algılama/kesme sistemleri faal midir?</v>
          </cell>
          <cell r="B158" t="str">
            <v>Yangın Önleme ve Sön. Tal.</v>
          </cell>
          <cell r="C158" t="str">
            <v>md. 25/1</v>
          </cell>
        </row>
        <row r="159">
          <cell r="A159" t="str">
            <v>İşletici veya noter onaylı vekaleti bulunan vekili, yurdun açık olduğu süre boyunca bizzat işinin başında bulunmakta mıdır?</v>
          </cell>
          <cell r="B159" t="str">
            <v>Küçük İşletmelere İlişkin Usul Esas.</v>
          </cell>
          <cell r="C159" t="str">
            <v>md. 24/b</v>
          </cell>
        </row>
        <row r="160">
          <cell r="A160" t="str">
            <v>Lokanta-kantin alanında, öğrencilerin kullanımına açık ve çalışır durumda bir elektronik tartı aleti mevcut mudur?</v>
          </cell>
          <cell r="B160" t="str">
            <v>Lokanta-Kantin İşletme Söz.</v>
          </cell>
          <cell r="C160" t="str">
            <v>md. 21/t</v>
          </cell>
        </row>
        <row r="161">
          <cell r="A161" t="str">
            <v>Ecza dolapları; beyaz boyalı, kırmızı ay işaretli, kilit altında ve içeriği (Ek-1 liste) her daim eksiksiz şekilde muhafaza ediliyor mu?</v>
          </cell>
          <cell r="B161" t="str">
            <v>Yurtlarda Alınacak Tedbirler Usul Esas.</v>
          </cell>
          <cell r="C161" t="str">
            <v>md. 6</v>
          </cell>
        </row>
        <row r="162">
          <cell r="A162" t="str">
            <v>Odalarda yeterli priz bulunmakta mıdır? Çoklu priz kullanımının oda başına bir adet ve standartlara uygun olacak şekilde kontrolü yapılıyor mu?</v>
          </cell>
          <cell r="B162" t="str">
            <v>Yurtlarda Alınacak Tedbirler Usul Esas.</v>
          </cell>
          <cell r="C162" t="str">
            <v>md. 16/11</v>
          </cell>
        </row>
        <row r="163">
          <cell r="A163" t="str">
            <v>Binanın tüm çevresini kapsayacak şekilde, itfaiyenin kolayca bağlantı yapabileceği bir "Yangın Hidrant Sistemi" tesis edilmiş midir?</v>
          </cell>
          <cell r="B163" t="str">
            <v>Yangın Önleme ve Sön. Tal.</v>
          </cell>
          <cell r="C163" t="str">
            <v>md. 43/1</v>
          </cell>
        </row>
        <row r="164">
          <cell r="A164" t="str">
            <v>Kazan dairesi; binadan 120 dk, kapısı ise 90 dk yangına dayanıklı bölmelerle tam olarak tecrit edilmiş midir?</v>
          </cell>
          <cell r="B164" t="str">
            <v>Yangın Önleme ve Sön. Tal.</v>
          </cell>
          <cell r="C164" t="str">
            <v>md. 22/2</v>
          </cell>
        </row>
        <row r="165">
          <cell r="A165" t="str">
            <v>Yurt Müdürü başkanlığında öğrencilerle ayda en az bir kez toplantı yapılarak, istek/sorunlar tutanakla kayıt altına alınmakta mıdır?</v>
          </cell>
          <cell r="B165" t="str">
            <v>Yurtlarda Alınacak Tedbirler Usul Esas.</v>
          </cell>
          <cell r="C165" t="str">
            <v>md. 13/c</v>
          </cell>
        </row>
        <row r="166">
          <cell r="A166" t="str">
            <v>Asansör hollerinde, kolayca okunabilecek büyüklükte "YANGIN SIRASINDA KULLANILMAZ" uyarı levhaları mevcut mudur?</v>
          </cell>
          <cell r="B166" t="str">
            <v>Binaların Yangından Kor. Yön.</v>
          </cell>
          <cell r="C166" t="str">
            <v>md. 62</v>
          </cell>
        </row>
        <row r="167">
          <cell r="A167" t="str">
            <v>Bitkisel atık yağların; sızdırmaz kaplarda biriktirildiği ve lisanslı firmalara "Ulusal Atık Taşıma Formu" ile teslim edildiği belgelenmiş mi?</v>
          </cell>
          <cell r="B167" t="str">
            <v>Bitkisel Atık Yağların Kont. Yön.</v>
          </cell>
          <cell r="C167" t="str">
            <v>md. 5-10</v>
          </cell>
        </row>
        <row r="168">
          <cell r="A168" t="str">
            <v>Yurt ziyaretçilerinin kimlik bilgileri alınarak "Ziyaretçi Defteri"ne düzenli kaydedildiği ve ziyaretçi kartı verildiği görülmüş müdür?</v>
          </cell>
          <cell r="B168" t="str">
            <v>Yurtlarda Alınacak Tedbirler Usul Esas.</v>
          </cell>
          <cell r="C168" t="str">
            <v>md. 10/11</v>
          </cell>
        </row>
        <row r="169">
          <cell r="A169" t="str">
            <v>Öğrenci giriş-çıkış takibini sağlayan parmak izi okuma sistemi faal midir? Bloklar arası geçişleri izleyecek şekilde yapılandırılmış mıdır?</v>
          </cell>
          <cell r="B169" t="str">
            <v>Yurtlarda Alınacak Tedbirler Usul Esas.</v>
          </cell>
          <cell r="C169" t="str">
            <v>md. 10</v>
          </cell>
        </row>
        <row r="170">
          <cell r="A170" t="str">
            <v>Yangın uyarı butonları; kaçış yollarında, yerden 110-130 cm yükseklikte ve erişim mesafesi 60 m'yi geçmeyecek şekilde tesis edilmiş midir?</v>
          </cell>
          <cell r="B170" t="str">
            <v>Binaların Yangından Kor. Yön.</v>
          </cell>
          <cell r="C170" t="str">
            <v>md. 75</v>
          </cell>
        </row>
        <row r="171">
          <cell r="A171" t="str">
            <v>Yangın algılama ve uyarı sisteminin; el ile veya otomatik uyarılar neticesinde eksiksiz çalıştığı test edilmiş midir?</v>
          </cell>
          <cell r="B171" t="str">
            <v xml:space="preserve">Yangın Önleme ve Söndürme Yönergesi </v>
          </cell>
          <cell r="C171" t="str">
            <v>md. 54</v>
          </cell>
        </row>
        <row r="172">
          <cell r="A172" t="str">
            <v>Tüm öğrenci odalarında, merkezi sistemle bağlantılı duman algılama detektörleri/cihazları mevcut ve çalışır durumda mıdır?</v>
          </cell>
          <cell r="B172" t="str">
            <v>Binaların Yangından Kor. Yön.</v>
          </cell>
          <cell r="C172" t="str">
            <v>md. 75</v>
          </cell>
        </row>
        <row r="173">
          <cell r="A173" t="str">
            <v>İşletici tarafından, Genel Müdürlük onayı alınmaksızın mevzuata aykırı elektrikli araç ve gereç kullanımı engellenmiş midir?</v>
          </cell>
          <cell r="B173" t="str">
            <v>Küçük İşletmelere İlişkin Usul Esas.</v>
          </cell>
          <cell r="C173" t="str">
            <v>md. 25/o</v>
          </cell>
        </row>
        <row r="174">
          <cell r="A174" t="str">
            <v>Kızartmada kullanılan yağların sıcaklığının 180°C altında tutulduğu ve yağ kalitesinin düzenli olarak ölçüldüğü saptanmış mıdır?</v>
          </cell>
          <cell r="B174" t="str">
            <v>Kızartma Yağları İçin Hijyen Kurallar</v>
          </cell>
          <cell r="C174" t="str">
            <v>yön.</v>
          </cell>
        </row>
        <row r="175">
          <cell r="A175" t="str">
            <v>Kızartma yağlarındaki Polar Madde oranının %25, Asit Sayısının ise 2,5 mg KOH/g limitlerini aşmadığı doğrulanmış mıdır?</v>
          </cell>
          <cell r="B175" t="str">
            <v>Kızartma Yağları İçin Hijyen Kurallar</v>
          </cell>
          <cell r="C175" t="str">
            <v>yön.</v>
          </cell>
        </row>
        <row r="176">
          <cell r="A176" t="str">
            <v>Ziyaretçilerin sadece bu amaçla oluşturulmuş özel alanlarda (ziyaretçi salonu vb.) kabul edildiği görülmüş müdür?</v>
          </cell>
          <cell r="B176" t="str">
            <v>Yurtlarda Alınacak Tedbirler Usul Esas.</v>
          </cell>
          <cell r="C176" t="str">
            <v>md. 10/11</v>
          </cell>
        </row>
        <row r="177">
          <cell r="A177" t="str">
            <v>Su depolarının iç yüzeyleri; PVC membran, paslanmaz çelik veya epoksi kaplama ile hijyen şartlarına uygun hale getirilmiş midir?</v>
          </cell>
          <cell r="B177" t="str">
            <v>Yurtlarda Alınacak Tedbirler Usul Esas.</v>
          </cell>
          <cell r="C177" t="str">
            <v>md. 8</v>
          </cell>
        </row>
        <row r="178">
          <cell r="A178" t="str">
            <v>501 ve üzeri kapasiteli işletmelerde; gıda üretiminin her aşamasında görev yapan, vekil tayin edilemeyen sürekli bir gıda mühendisi veya diyetisyen mevcut mudur?</v>
          </cell>
          <cell r="B178" t="str">
            <v>Küçük İşletmelere İlişkin Usul Esas.</v>
          </cell>
          <cell r="C178" t="str">
            <v>md. 25/ı</v>
          </cell>
        </row>
        <row r="179">
          <cell r="A179" t="str">
            <v>Mutfaklarda; hazır köfte, hazır çorba, glikoz şurubu veya fast-food tipi dondurulmuş ürünlerin kullanımı engellenmiş midir?</v>
          </cell>
          <cell r="B179" t="str">
            <v>Küçük İşletmelere İlişkin Usul Esas.</v>
          </cell>
          <cell r="C179" t="str">
            <v>md. 25/i</v>
          </cell>
        </row>
        <row r="180">
          <cell r="A180" t="str">
            <v>İşletme personeli ve hizmet alımı çalışanlarının kimlik bilgileri, 1774 sayılı Kanun uyarınca ilgili mercilere ve İl Müdürlüğüne düzenli bildirilmiş mi?</v>
          </cell>
          <cell r="B180" t="str">
            <v>Yurtlarda Alınacak Tedbirler Usul Esas.</v>
          </cell>
          <cell r="C180" t="str">
            <v>md. 11/14</v>
          </cell>
        </row>
        <row r="181">
          <cell r="A181" t="str">
            <v>Genel ilaçlama dönemlerinde işletme alanları için metrekare bazlı hesaplanan ilaçlama bedellerinin işletici tarafından ödenmesi sağlanmış mıdır?</v>
          </cell>
          <cell r="B181" t="str">
            <v>Lokanta-Kantin İşletme Söz.</v>
          </cell>
          <cell r="C181" t="str">
            <v>md. 21/z</v>
          </cell>
        </row>
        <row r="182">
          <cell r="A182" t="str">
            <v>İşletme personelinin SGK İcmal Listesi ile Aylık Ücret Bordroları arasında tam bir uyum olduğu ve tüm çalışanların bordroda yer aldığı görülmüş müdür?</v>
          </cell>
          <cell r="B182" t="str">
            <v>Sosyal Sigortalar ve GSS Kanunu / Sö</v>
          </cell>
          <cell r="C182" t="str">
            <v>sözleşme</v>
          </cell>
        </row>
        <row r="183">
          <cell r="A183" t="str">
            <v>Yurt binalarına yaya ve araç giriş-çıkışları; "Kurum Kimlik ve Giriş Kartları Talimatı" hükümlerine uygun olarak devamlı kontrol edilmekte midir?</v>
          </cell>
          <cell r="B183" t="str">
            <v>Yurtlarda Alınacak Tedbirler Usul Esas.</v>
          </cell>
          <cell r="C183" t="str">
            <v>md. 10/6</v>
          </cell>
        </row>
        <row r="184">
          <cell r="A184" t="str">
            <v>Lokanta ve kantinlerde; öğrencilerin sağlıklı beslenmesini sağlayacak çeşitlilikte, hijyenik ve besin değeri yüksek ürünler sunulmakta mıdır?</v>
          </cell>
          <cell r="B184" t="str">
            <v>Lokanta-Kantin İşletme Söz.</v>
          </cell>
          <cell r="C184" t="str">
            <v>md. 5-ı</v>
          </cell>
        </row>
        <row r="185">
          <cell r="A185" t="str">
            <v>Kantinlerde satışa sunulan ürünlerin, Bakanlık talimatlarına uygun olarak ülke genelinde bilinen ve tanınan markalardan seçildiği görülmüş müdür?</v>
          </cell>
          <cell r="C185" t="str">
            <v>talimatları</v>
          </cell>
        </row>
        <row r="186">
          <cell r="A186" t="str">
            <v>Sözleşme dışı kullanılan her bir elektrikli araç için Genel Müdürlük izni alınmış ve aylık %3 ek zaruri masraf (ZMK) tahsil edilmiş midir?</v>
          </cell>
          <cell r="B186" t="str">
            <v>Küçük İşletmelere İlişkin Usul Esas.</v>
          </cell>
          <cell r="C186" t="str">
            <v>md. 13/a</v>
          </cell>
        </row>
        <row r="187">
          <cell r="A187" t="str">
            <v>Yurt müdür yardımcısı veya diğer personelin yurtta konaklaması durumunda; "Konaklama Usul ve Esasları" uyarınca günlük yatak ücreti tahsil ediliyor mu?</v>
          </cell>
          <cell r="B187" t="str">
            <v>GSB Konaklama Usul ve Esaslar M</v>
          </cell>
          <cell r="C187" t="str">
            <v>md. 5-8</v>
          </cell>
        </row>
        <row r="188">
          <cell r="A188" t="str">
            <v>Misafir öğrencilerin; yurt kaydı açılmadan ve konaklama ücreti yatırılmadan yurtlarda barındırılması engellenmiş midir?</v>
          </cell>
          <cell r="C188" t="str">
            <v>yönetmeliği</v>
          </cell>
        </row>
        <row r="189">
          <cell r="A189" t="str">
            <v>Misafir öğrencilerin yurda giriş-çıkışlarında parmak izi okuma sistemini kullanmaları sağlanarak sağlıklı takip yapılmakta mıdır?</v>
          </cell>
          <cell r="C189" t="str">
            <v>yönetmeliği</v>
          </cell>
        </row>
        <row r="190">
          <cell r="A190" t="str">
            <v>Yurt kaydı bulunmayan veya misafir öğrenci statüsünde olmayan kişilerin sabah/akşam yemek yardımından usulsüz yararlanması engellenmiş midir?</v>
          </cell>
          <cell r="C190" t="str">
            <v>yönetmeliği</v>
          </cell>
        </row>
        <row r="191">
          <cell r="A191" t="str">
            <v>Öğrenci menünün tamamını almadığında; parmak izi sistemine tüm yardım tutarı yerine sadece alınan ürünlerin bedeli mi girilmektedir?</v>
          </cell>
          <cell r="C191" t="str">
            <v>talimatı</v>
          </cell>
        </row>
        <row r="192">
          <cell r="A192" t="str">
            <v>İşleticilerin, az miktarda ürün alan (su, çorba vb.) öğrencilere beslenme yardımının tamamı üzerinden parmak bastırdığı görülmüş müdür?</v>
          </cell>
          <cell r="C192" t="str">
            <v>talimatı</v>
          </cell>
        </row>
        <row r="193">
          <cell r="A193" t="str">
            <v>"Küçük İşletmeler Kontrol Formu" (Ek-5) nöbetçi personelce her gün düzenli olarak doldurulup yurt müdürünce onaylanmakta mıdır?</v>
          </cell>
          <cell r="B193" t="str">
            <v>Küçük İşletmelere İlişkin Usul Esas.</v>
          </cell>
          <cell r="C193" t="str">
            <v>md. 20/a</v>
          </cell>
        </row>
        <row r="194">
          <cell r="A194" t="str">
            <v>Ayda en az iki kez yapılan komisyon denetimleri sonucunda saptanan eksiklikler, işleticiye yazılı olarak tebliğ edilmekte midir?</v>
          </cell>
          <cell r="B194" t="str">
            <v>Küçük İşletmelere İlişkin Usul Esas.</v>
          </cell>
          <cell r="C194" t="str">
            <v>md. 20/a</v>
          </cell>
        </row>
        <row r="195">
          <cell r="A195" t="str">
            <v>Aylık zaruri masraf (ZMK) tutarları; hesaplanmasını takip eden 3 iş günü içinde işleticiye bildirilip 7. iş gününe kadar tahsil ediliyor mu?</v>
          </cell>
          <cell r="B195" t="str">
            <v>Küçük İşletmelere İlişkin Usul Esas.</v>
          </cell>
          <cell r="C195" t="str">
            <v>md. 13/h</v>
          </cell>
        </row>
        <row r="196">
          <cell r="A196" t="str">
            <v>Zaruri masraf ödemelerini geciktirmeyi alışkanlık haline getiren işleticilere; ihtar ve teminatın %10'u oranında para cezası uygulanmış mıdır?</v>
          </cell>
          <cell r="B196" t="str">
            <v>Lokanta-Kantin İşletme Söz.</v>
          </cell>
          <cell r="C196" t="str">
            <v>md. 11-20</v>
          </cell>
        </row>
        <row r="197">
          <cell r="A197" t="str">
            <v>Kantin ürünleri; toptan fatura bedeline (iskonto düşüldükten sonra) en fazla %15 kar marjı eklenerek mi satışa sunulmaktadır?</v>
          </cell>
          <cell r="B197" t="str">
            <v>Lokanta-Kantin İşletme Söz.</v>
          </cell>
          <cell r="C197" t="str">
            <v>md. 21/f</v>
          </cell>
        </row>
        <row r="198">
          <cell r="A198" t="str">
            <v>Sebze ve meyve satışlarında, fatura bedeli üzerine %20 kar haddinin aşılmadığı ve piyasa fiyatlarına uygunluk denetlendi mi?</v>
          </cell>
          <cell r="B198" t="str">
            <v>Lokanta-Kantin İşletme Söz.</v>
          </cell>
          <cell r="C198" t="str">
            <v>md. 21/f</v>
          </cell>
        </row>
        <row r="199">
          <cell r="A199" t="str">
            <v>Kaydı silinen öğrencilerden ve misafirlerden alınan tanıtma kartları, aylık periyotlarla komisyon marifetiyle usulüne uygun imha ediliyor mu?</v>
          </cell>
          <cell r="B199" t="str">
            <v>Yurtlarda Alınacak Tedbirler Usul Esas.</v>
          </cell>
          <cell r="C199" t="str">
            <v>md. 16/14</v>
          </cell>
        </row>
        <row r="200">
          <cell r="A200" t="str">
            <v>Kimlik imha tutanaklarında; öğrenci bilgileri, kart seri numarası ve kayıt silinme tarihi gibi zorunlu bilgiler eksiksiz yer almakta mıdır?</v>
          </cell>
          <cell r="B200" t="str">
            <v>Yurtlarda Alınacak Tedbirler Usul Esas.</v>
          </cell>
          <cell r="C200" t="str">
            <v>md. 16/14</v>
          </cell>
        </row>
        <row r="201">
          <cell r="A201" t="str">
            <v>Hasta veya yaralı öğrencilerin sağlık kuruluşuna sevklerinde "Hasta/Yaralı Sevk Formu" (Ek-2) düzenlenerek nöbet defterine kayıt düşülmüş müdür?</v>
          </cell>
          <cell r="B201" t="str">
            <v>Yurtlarda Alınacak Tedbirler Usul Esas.</v>
          </cell>
          <cell r="C201" t="str">
            <v>md. 7</v>
          </cell>
        </row>
        <row r="202">
          <cell r="A202" t="str">
            <v>İşletmelerce kullanılan et ürünlerinin; veteriner hekim kontrollü kesildiğini gösteren menşei belgeleri ve uygunluk raporları alım bazlı dosyalanmış mı?</v>
          </cell>
          <cell r="B202" t="str">
            <v>Küçük İşletmelere İlişkin Usul Esas.</v>
          </cell>
          <cell r="C202" t="str">
            <v>md. 25/i</v>
          </cell>
        </row>
        <row r="203">
          <cell r="A203" t="str">
            <v>Yurt personelinin görev mahiyeti ve dönemsellik ilkeleri gözetilerek hazırlanan yazılı iş bölümü çizelgeleri ilgililere tebliğ edilmiş midir?</v>
          </cell>
          <cell r="B203" t="str">
            <v>Yurtlarda Alınacak Tedbirler Usul Esas.</v>
          </cell>
          <cell r="C203" t="str">
            <v>md. 16/4</v>
          </cell>
        </row>
        <row r="204">
          <cell r="A204" t="str">
            <v>Yurt binası, eklentileri ve açık alanlarında hayvan beslenmesine izin verilmemesi kuralına riayet edilmekte midir?</v>
          </cell>
          <cell r="B204" t="str">
            <v>Yurtlarda Alınacak Tedbirler Usul Esas.</v>
          </cell>
          <cell r="C204" t="str">
            <v>md. 15/12</v>
          </cell>
        </row>
        <row r="205">
          <cell r="A205" t="str">
            <v>Binanın kapalı alanlarında ve özellikle yangın merdivenlerinde sigara içilmesi kesin olarak engellenmiş midir?</v>
          </cell>
          <cell r="B205" t="str">
            <v>Yurtlarda Alınacak Tedbirler Usul Esas.</v>
          </cell>
          <cell r="C205" t="str">
            <v>md. 9</v>
          </cell>
        </row>
        <row r="206">
          <cell r="A206" t="str">
            <v>Et ürünleri alımlarında; etlerin uygunluk raporları ile birlikte dezenfeksiyon belgelerinin idareye sunulduğu saptanmış mıdır?</v>
          </cell>
          <cell r="B206" t="str">
            <v>Küçük İşletmelere İlişkin Usul Esas.</v>
          </cell>
          <cell r="C206" t="str">
            <v>md. 25/i</v>
          </cell>
        </row>
        <row r="207">
          <cell r="A207" t="str">
            <v>Yurt binaları; oda yapısı, banyo-WC donatıları ve bina giriş rampaları bakımından engelli erişilebilirliğine uygun hale getirilmiş midir?</v>
          </cell>
          <cell r="B207" t="str">
            <v>5378 Sayılı Engelliler Hk.</v>
          </cell>
          <cell r="C207" t="str">
            <v>kanun</v>
          </cell>
        </row>
        <row r="208">
          <cell r="A208" t="str">
            <v>Engelli odaları sadece bu statüdeki öğrencilere mi tahsis edilmektedir? (Normal öğrencilere verilmediği görülmüş müdür?)</v>
          </cell>
          <cell r="B208" t="str">
            <v>5378 Sayılı Engelliler Hk.</v>
          </cell>
          <cell r="C208" t="str">
            <v>kanun</v>
          </cell>
        </row>
        <row r="209">
          <cell r="A209" t="str">
            <v>Yurt giriş-çıkışlarında; bavul, valiz ve çantaların el detektörü ile öğrenciyi rencide etmeyecek şekilde aranması sağlanmakta mıdır?</v>
          </cell>
          <cell r="B209" t="str">
            <v>Yurtlarda Alınacak Tedbirler Usul Esas.</v>
          </cell>
          <cell r="C209" t="str">
            <v>md. 10/14</v>
          </cell>
        </row>
        <row r="210">
          <cell r="A210" t="str">
            <v>Yurt bahçesi ve depolarda bulunan atıl/hurda malzemelerin, mevzuata uygun şekilde tasfiyesi yapılarak alan işgali önlenmiş midir?</v>
          </cell>
          <cell r="C210" t="str">
            <v>yönetmeliği</v>
          </cell>
        </row>
        <row r="211">
          <cell r="A211" t="str">
            <v>Yangın çıkışlarına; başka bir kullanıcının odasından veya mekanından geçmek zorunda kalınmaksızın doğrudan erişim sağlanıyor mu?</v>
          </cell>
          <cell r="B211" t="str">
            <v>Yangın Önleme ve Sön. Yön.</v>
          </cell>
          <cell r="C211" t="str">
            <v>md. 18</v>
          </cell>
        </row>
        <row r="212">
          <cell r="A212" t="str">
            <v>Kaçış yollarında geçişi engelleyen; kapı, gıda malzemesi veya eşya gibi unsurların bulunmadığı tespit edilmiş midir?</v>
          </cell>
          <cell r="B212" t="str">
            <v>Yangın Önleme ve Sön. Yön.</v>
          </cell>
          <cell r="C212" t="str">
            <v>md. 20</v>
          </cell>
        </row>
        <row r="213">
          <cell r="A213" t="str">
            <v>Kazan dairesinde bulunan arabalı yangın söndürme cihazlarının TS EN 1866 kalite belgesine sahip olduğu saptanmış mıdır?</v>
          </cell>
          <cell r="B213" t="str">
            <v>Yangın Önleme ve Sön. Yön.</v>
          </cell>
          <cell r="C213" t="str">
            <v>md. 78/6</v>
          </cell>
        </row>
        <row r="214">
          <cell r="A214" t="str">
            <v>Ana elektrik panosu; kazan dairesi dışında, acil durumlarda kolayca ulaşılabilecek güvenli bir noktada mı yer almaktadır?</v>
          </cell>
          <cell r="B214" t="str">
            <v>Yangın Önleme ve Sön. Yön.</v>
          </cell>
          <cell r="C214" t="str">
            <v>md. 34/1</v>
          </cell>
        </row>
        <row r="215">
          <cell r="A215" t="str">
            <v>Öğrenci odalarında; yangın riski oluşturan su ısıtıcısı, ocak ve benzeri ısıtma/pişirme cihazlarının kullanımı engellenmiş midir?</v>
          </cell>
          <cell r="B215" t="str">
            <v>Yurtlarda Alınacak Tedbirler Usul Esas.</v>
          </cell>
          <cell r="C215" t="str">
            <v>md. 16/11</v>
          </cell>
        </row>
        <row r="216">
          <cell r="A216" t="str">
            <v>Konferans salonu ve benzeri amaçlı mekanların, depo (nevresim odası vb.) gibi asli amacı dışında kullanılması engellenmiş midir?</v>
          </cell>
          <cell r="B216" t="str">
            <v>Yurtlarda Alınacak Tedbirler Usul Esas.</v>
          </cell>
          <cell r="C216" t="str">
            <v>md. 11/7</v>
          </cell>
        </row>
        <row r="217">
          <cell r="A217" t="str">
            <v>Kaçış yolları ve yangın merdivenleri, binanın kullanımda olduğu tüm zamanlarda yeterli ve sürekli bir aydınlatmaya sahip midir?</v>
          </cell>
          <cell r="B217" t="str">
            <v>Yangın Önleme ve Sön. Yön.</v>
          </cell>
          <cell r="C217" t="str">
            <v>md. 50</v>
          </cell>
        </row>
        <row r="218">
          <cell r="A218" t="str">
            <v>Yangın algılama sistemine ait kablo ve hatlar; kopukluk, kısa devre ve toprak kaçağına karşı sürekli denetim altında tutulmakta mıdır?</v>
          </cell>
          <cell r="B218" t="str">
            <v>Yangın Önleme ve Sön. Yön.</v>
          </cell>
          <cell r="C218" t="str">
            <v>md. 53/2</v>
          </cell>
        </row>
        <row r="219">
          <cell r="A219" t="str">
            <v>Öğrenci nevresim takımları en geç 7 günde bir değiştirilmekte ve bu işlemler "Nevresim Değişim Çizelgesi" ile takip edilmekte midir?</v>
          </cell>
          <cell r="B219" t="str">
            <v>Yurtlarda Alınacak Tedbirler Usul Esas.</v>
          </cell>
          <cell r="C219" t="str">
            <v>md. 11/4</v>
          </cell>
        </row>
        <row r="220">
          <cell r="A220" t="str">
            <v>Yurt bahçesi ve blok çevresindeki aydınlatma sistemleri, çevre güvenliğini sağlayacak şekilde en üst seviyede ve aktif tutuluyor mu?</v>
          </cell>
          <cell r="B220" t="str">
            <v>Yurtlarda Alınacak Tedbirler Usul Esas.</v>
          </cell>
          <cell r="C220" t="str">
            <v>md. 10</v>
          </cell>
        </row>
        <row r="221">
          <cell r="A221" t="str">
            <v>Öğrenci kayıt dosyalarında; adli sicil, vasi izin belgesi, taahhütname ve sağlık raporu gibi zorunlu belgeler eksiksiz yer alıyor mu?</v>
          </cell>
          <cell r="B221" t="str">
            <v>Yurtlara Kayıt Usul ve Esasları M</v>
          </cell>
          <cell r="C221" t="str">
            <v>md. 7-9</v>
          </cell>
        </row>
        <row r="222">
          <cell r="A222" t="str">
            <v>Öncelikli kayıt hakkından yararlanan öğrencilerin (engelli, şehit/gazi yakını vb.) durumlarını kanıtlayıcı güncel belgeleri dosyalanmış mıdır?</v>
          </cell>
          <cell r="B222" t="str">
            <v>Yurtlara Kayıt Usul ve Esasları M</v>
          </cell>
          <cell r="C222" t="str">
            <v>md. 9/4</v>
          </cell>
        </row>
        <row r="223">
          <cell r="A223" t="str">
            <v>Öğrencilerin kullanımına sunulan yatak ve dolaplar, KYKNET sistemiyle uyumlu olacak şekilde aynı numara ile numaralandırılmış mıdır?</v>
          </cell>
          <cell r="B223" t="str">
            <v>Yurtlarda Alınacak Tedbirler Usul Esas.</v>
          </cell>
          <cell r="C223" t="str">
            <v>md. 16/3</v>
          </cell>
        </row>
        <row r="224">
          <cell r="A224" t="str">
            <v>Güvenlik görevlisi kontrol sistemleri (devriye takip sistemi vb.) aktif mi? Sistem çıktıları nöbetçi personelce düzenli kontrol ediliyor mu?</v>
          </cell>
          <cell r="B224" t="str">
            <v>Yurtlarda Alınacak Tedbirler Usul Esas.</v>
          </cell>
          <cell r="C224" t="str">
            <v>md. 10/4</v>
          </cell>
        </row>
        <row r="225">
          <cell r="A225" t="str">
            <v>Her disiplin vakası için; inceleme raporu, kurul kararı ve eklerini içeren müstakil bir "Disiplin İşlem Dosyası" oluşturulmuş mudur?</v>
          </cell>
          <cell r="B225" t="str">
            <v>Öğrenci Disiplin İşlemleri Uyg. Usul Esas.</v>
          </cell>
          <cell r="C225" t="str">
            <v>md. 3/h</v>
          </cell>
        </row>
        <row r="226">
          <cell r="A226" t="str">
            <v>Öğrencilere verilen kınama ve süresiz çıkarma cezaları; öğrencinin ailesine ve öğretim kurumuna yurt müdürlüğünce yazılı olarak bildirilmiş mi?</v>
          </cell>
          <cell r="B226" t="str">
            <v xml:space="preserve">Yurt İdare ve İşletme Yönetmeliği </v>
          </cell>
          <cell r="C226" t="str">
            <v>md. 30</v>
          </cell>
        </row>
        <row r="227">
          <cell r="A227" t="str">
            <v>Onaylanan disiplin kurulu kararları, usulüne uygun şekilde "Disiplin Kurulu Karar Defteri"ne (Ek-12) işlenmiş veya kaydedilmiş midir?</v>
          </cell>
          <cell r="B227" t="str">
            <v>Öğrenci Disiplin İşlemleri Uyg. Usul Esas.</v>
          </cell>
          <cell r="C227" t="str">
            <v>md. 3/ı</v>
          </cell>
        </row>
        <row r="228">
          <cell r="A228" t="str">
            <v>Ön protokol ile kiralanan binalarda; kazan ve basınçlı kapların periyodik kontrol bedelleri mülk sahibi tarafından mı karşılanmaktadır?</v>
          </cell>
          <cell r="B228" t="str">
            <v>Bina Kiralama Genel ve Teknik Şartname</v>
          </cell>
          <cell r="C228" t="str">
            <v>c.2</v>
          </cell>
        </row>
        <row r="229">
          <cell r="A229" t="str">
            <v>Mülk sahibinin sorumluluğunda olan "kazan dairesi bakım onarım" giderlerinin, usulsüz şekilde İl Müdürlüğü bütçesinden ödendiği görülmüş müdür?</v>
          </cell>
          <cell r="B229" t="str">
            <v>Bina Kiralama Genel ve Teknik Şartname</v>
          </cell>
          <cell r="C229" t="str">
            <v>c.2</v>
          </cell>
        </row>
        <row r="230">
          <cell r="A230" t="str">
            <v>Fazla çalışma ücreti; personelin kadrosuna ait görevini normal mesai saatleri dışında "fiilen" yapması şartıyla mı ödenmektedir?</v>
          </cell>
          <cell r="B230" t="str">
            <v>Fazla Çalışma Uyg. Esas. Gösterir Yön.</v>
          </cell>
          <cell r="C230" t="str">
            <v>md. 4</v>
          </cell>
        </row>
        <row r="231">
          <cell r="A231" t="str">
            <v>Nöbet hizmetine dahil olmayan ve mevzuatta sayılmayan unvanlardaki personele usulsüz fazla çalışma ücreti ödenmesi engellenmiş midir?</v>
          </cell>
          <cell r="B231" t="str">
            <v>Özel ve Gece Hizmetleri Esasları</v>
          </cell>
          <cell r="C231" t="str">
            <v>md. 5</v>
          </cell>
        </row>
        <row r="232">
          <cell r="A232" t="str">
            <v>Fiilen fazla çalışma yapmadığı halde ödeme alan personelden ve bu çizelgeyi onaylayan yöneticiden ödemeler bir katı fazlasıyla tahsil edilmiş mi?</v>
          </cell>
          <cell r="C232" t="str">
            <v>a-4</v>
          </cell>
        </row>
        <row r="233">
          <cell r="A233" t="str">
            <v>2464 sayılı Kanun uyarınca muaf olunan "Çevre Temizlik Vergisi" ve "Evsel Katı Atık Bedeli" ödemelerinin su faturaları üzerinden bütçeden karşılanması engellenmiş midir?</v>
          </cell>
          <cell r="B233" t="str">
            <v>2464 Sayılı Kanun Mük.</v>
          </cell>
          <cell r="C233" t="str">
            <v>md. 44</v>
          </cell>
        </row>
        <row r="234">
          <cell r="A234" t="str">
            <v>Ön protokol gereği mülk sahibince yapılması gereken bakım-onarım işleri, firma nam ve hesabına yaptırılarak kira bedelinden mahsup ediliyor mu?</v>
          </cell>
          <cell r="B234" t="str">
            <v>Ön Protokol Genel ve Teknik Şart</v>
          </cell>
          <cell r="C234" t="str">
            <v>şartnamesi</v>
          </cell>
        </row>
        <row r="235">
          <cell r="A235" t="str">
            <v>Mülk sahibinin yapması gereken tamiratların İl Müdürlüğü bütçesinden karşılanması sonucu oluşan kamu zararının takibi ve tahsili yapılmış mıdır?</v>
          </cell>
          <cell r="B235" t="str">
            <v>Ön Protokol Genel ve Teknik Şart</v>
          </cell>
          <cell r="C235" t="str">
            <v>şartnamesi</v>
          </cell>
        </row>
        <row r="236">
          <cell r="A236" t="str">
            <v>Kiralanan binaların alt katlarında yer alan dükkânların, yurt hizmetiyle bağdaşmayan ve öğrencileri olumsuz etkileyen ticari faaliyetleri için tahliye süreci başlatılmış mıdır?</v>
          </cell>
          <cell r="B236" t="str">
            <v>Kira Sözleşmesi ve Tahliye Me</v>
          </cell>
          <cell r="C236" t="str">
            <v>mevzuatı</v>
          </cell>
        </row>
        <row r="237">
          <cell r="A237" t="str">
            <v>Kira başlangıç tarihinden itibaren bir yıllık kullanım süresi dolmadan, mevzuata aykırı şekilde kira bedelinde artış (zam) yapılmış mıdır?</v>
          </cell>
          <cell r="B237" t="str">
            <v>Taşınmaz Kiralanması Yön.</v>
          </cell>
          <cell r="C237" t="str">
            <v>md. 19/2</v>
          </cell>
        </row>
        <row r="238">
          <cell r="A238" t="str">
            <v>Kira artış oranları belirlenirken; dönemin mevzuatına göre (Yİ-ÜFE veya TÜFE 12 aylık ortalama) yasal limitlerin aşılmadığı kontrol edilmiş midir?</v>
          </cell>
          <cell r="B238" t="str">
            <v>Kamu İdareleri Taşınmaz Kiralama Genel</v>
          </cell>
          <cell r="C238" t="str">
            <v>genelgeleri</v>
          </cell>
        </row>
        <row r="239">
          <cell r="A239" t="str">
            <v>Kira artış oranlarındaki hatalı hesaplamalar nedeniyle mülk sahiplerine yapılan fazla ödemelerin tespiti ve iadesi sağlanmış mıdır?</v>
          </cell>
          <cell r="B239" t="str">
            <v>Kamu Zararlarının Tahsiline İlişkin Usul</v>
          </cell>
          <cell r="C239" t="str">
            <v>esas.</v>
          </cell>
        </row>
        <row r="240">
          <cell r="A240" t="str">
            <v>Gençlik merkezinin en uygun yerinde; büst, bayrak, hitabe ve İstiklal Marşı'nı içeren bir "Atatürk Köşesi" mevzuata uygun şekilde oluşturulmuş mudur?</v>
          </cell>
          <cell r="B240" t="str">
            <v>Gençlik Merkezleri Yönetmeliği M</v>
          </cell>
          <cell r="C240" t="str">
            <v>md. 6/3</v>
          </cell>
        </row>
        <row r="241">
          <cell r="A241" t="str">
            <v>Üyelere, merkeze giriş-çıkışların kontrolünü ve takibini kolaylaştıracak fotoğraflı "Gençlik Merkezi Üye Kimlik Kartı" verilmekte midir?</v>
          </cell>
          <cell r="B241" t="str">
            <v xml:space="preserve">Gençlik Merkezleri Yönetmeliği </v>
          </cell>
          <cell r="C241" t="str">
            <v>md. 17</v>
          </cell>
        </row>
        <row r="242">
          <cell r="A242" t="str">
            <v>Eğitim, sosyal ve kültürel faaliyetlere ilişkin mal ve hizmet alımları; yetkili olan Destek Hizmetleri Birimi aracılığıyla mı gerçekleştirilmektedir?</v>
          </cell>
          <cell r="B242" t="str">
            <v>Taşra Teşkilatı Kuruluş ve Görev Yön.</v>
          </cell>
          <cell r="C242" t="str">
            <v>md. 19/6</v>
          </cell>
        </row>
        <row r="243">
          <cell r="A243" t="str">
            <v>Görev ücreti ödemeleri; personelin asli mesai görevleri haricinde, fiilen yürüttüğü faaliyetler için mi gerçekleştirilmektedir?</v>
          </cell>
          <cell r="B243" t="str">
            <v>2001/2863 BKK Esaslar</v>
          </cell>
          <cell r="C243" t="str">
            <v>md. 2</v>
          </cell>
        </row>
        <row r="244">
          <cell r="A244" t="str">
            <v>Görevlendirmelerde; Bakanlar Kurulu Kararı ekli tablolarında yer almayan (Denetmen vb.) norm dışı unvanlar kullanılmış mıdır?</v>
          </cell>
          <cell r="B244" t="str">
            <v xml:space="preserve">2001/2863 BKK Esaslar </v>
          </cell>
          <cell r="C244" t="str">
            <v>md. 16</v>
          </cell>
        </row>
        <row r="245">
          <cell r="A245" t="str">
            <v>"Benzeri ve diğer personel" tanımına giren unvanlar için Genel Müdürlük makamından onay alınmış mıdır?</v>
          </cell>
          <cell r="B245" t="str">
            <v>2001/2863 BKK Esaslar 2 Sayılı</v>
          </cell>
          <cell r="C245" t="str">
            <v>tablo</v>
          </cell>
        </row>
        <row r="246">
          <cell r="A246" t="str">
            <v>Gençlik Merkezi Müdürlerine; asli görevleri olan "planlama, yönetim ve denetim" faaliyetleri için ayrıca görev ücreti ödenmekte midir?</v>
          </cell>
          <cell r="B246" t="str">
            <v>Gençlik Merkezleri Yönetmeliği</v>
          </cell>
          <cell r="C246" t="str">
            <v>md. 1</v>
          </cell>
        </row>
        <row r="247">
          <cell r="A247" t="str">
            <v>Herhangi bir eğitici/öğretici faaliyette bulunmayan idarecilerin, kendi düzenledikleri tek imzalı çizelgelerle ücret almaları saptanmış mıdır?</v>
          </cell>
          <cell r="B247" t="str">
            <v>2001/2863 BKK Esaslar</v>
          </cell>
          <cell r="C247" t="str">
            <v>md. 5</v>
          </cell>
        </row>
        <row r="248">
          <cell r="A248" t="str">
            <v>Öğle arası (12:00-13:00) dinlenme saatlerinde yapılan denetimlerin, hayatın olağan akışına aykırı şekilde "sürekli" olarak ücretlendirilmesi engellenmiş midir?</v>
          </cell>
          <cell r="C248" t="str">
            <v>esaslar</v>
          </cell>
        </row>
        <row r="249">
          <cell r="A249" t="str">
            <v>Ödeme emri ekindeki "Çeşitli Ödemeler Bordrosu" ile fiili faaliyet raporlarının (eğitici/öğretici bazlı) uyumu kontrol edilmiş midir?</v>
          </cell>
          <cell r="B249" t="str">
            <v>Merkezi Yönetim Harcama Belg.</v>
          </cell>
          <cell r="C249" t="str">
            <v>yön.</v>
          </cell>
        </row>
        <row r="250">
          <cell r="A250" t="str">
            <v>Mal ve hizmet alımı süreçlerinde, harcama talimatı verilmeden önce bütçede "kullanılabilir ödenek" kontrolü yapılmakta mıdır?</v>
          </cell>
          <cell r="B250" t="str">
            <v>5018 Sayılı Kanun Md.</v>
          </cell>
          <cell r="C250" t="str">
            <v>md. 31-32</v>
          </cell>
        </row>
        <row r="251">
          <cell r="A251" t="str">
            <v>Ödeneksiz harcama yapılamayacağı ilkesine aykırı olarak, alım gerçekleştikten sonra ödenek talep edilmesi uygulamasına rastlanmış mıdır?</v>
          </cell>
          <cell r="B251" t="str">
            <v>5018 Sayılı Kanun / 4734 Sayılı</v>
          </cell>
          <cell r="C251" t="str">
            <v>kanun</v>
          </cell>
        </row>
        <row r="252">
          <cell r="A252" t="str">
            <v>Harcama talimatlarında; hizmet gerekçesi, tutar, süre, kullanılabilir ödenek ve gerçekleştirme usulü bilgileri eksiksiz yer alıyor mu?</v>
          </cell>
          <cell r="B252" t="str">
            <v xml:space="preserve">5018 Sayılı Kanun </v>
          </cell>
          <cell r="C252" t="str">
            <v>md. 32</v>
          </cell>
        </row>
        <row r="253">
          <cell r="A253" t="str">
            <v>Kamu kaynaklarının etkili, ekonomik ve verimli kullanımı ilkesi uyarınca, konaklama hizmetlerinde öncelikle Bakanlık tesisleri mi tercih ediliyor?</v>
          </cell>
          <cell r="B253" t="str">
            <v>Tasarruf Tedbirleri Genelgesi / 5018 S.</v>
          </cell>
          <cell r="C253" t="str">
            <v>k.</v>
          </cell>
        </row>
        <row r="254">
          <cell r="A254" t="str">
            <v>Genel Müdürlük talimatlarında yer alan "en az dört yıldızlı otel" şartı, piyasa rayiçleri ve tasarruf ilkeleri çerçevesinde sorgulanmış mıdır?</v>
          </cell>
          <cell r="B254" t="str">
            <v xml:space="preserve">5018 Sayılı Kanun </v>
          </cell>
          <cell r="C254" t="str">
            <v>md. 31</v>
          </cell>
        </row>
        <row r="255">
          <cell r="A255" t="str">
            <v>Proje bitiminde hazırlanan "Sonuç Raporları" ve hak ediş evrakları, ödenek aktarımı öncesinde usulüne uygun şekilde dosyalanmakta mıdır?</v>
          </cell>
          <cell r="C255" t="str">
            <v>esasları</v>
          </cell>
        </row>
        <row r="256">
          <cell r="A256" t="str">
            <v>Harcama yetkilileri, talimatların bütçe ilke ve esasları ile yürürlükteki mevzuata uygunluğunu titizlikle denetlemekte midir?</v>
          </cell>
          <cell r="B256" t="str">
            <v xml:space="preserve">5018 Sayılı Kanun </v>
          </cell>
          <cell r="C256" t="str">
            <v>md. 32</v>
          </cell>
        </row>
        <row r="257">
          <cell r="A257" t="str">
            <v>Sosyal ve kültürel faaliyet giderleri, faaliyetin gerçekleştiği mali yıl bütçesinden ve zamanında mı karşılanmaktadır?</v>
          </cell>
          <cell r="C257" t="str">
            <v>kanun</v>
          </cell>
        </row>
        <row r="258">
          <cell r="A258" t="str">
            <v>"Biz Anadoluyuz" projesi kapsamında seyahat eden genç, mihmandar ve gönüllülerin tamamı için "Yurtiçi Seyahat Sağlık Sigortası" yaptırılmış mıdır?</v>
          </cell>
          <cell r="B258" t="str">
            <v>Biz Anadoluyuz Projesi Uyg. Esas.</v>
          </cell>
          <cell r="C258" t="str">
            <v>md. 6</v>
          </cell>
        </row>
        <row r="259">
          <cell r="A259" t="str">
            <v>Seyahat sağlık sigortasına ilişkin poliçeler, faaliyet dosyasında ve ödeme emri belgesi ekinde tevsik edici belge olarak bulunmakta mıdır?</v>
          </cell>
          <cell r="B259" t="str">
            <v>Merkezi Yönetim Harcama Belg.</v>
          </cell>
          <cell r="C259" t="str">
            <v>yön.</v>
          </cell>
        </row>
        <row r="260">
          <cell r="A260" t="str">
            <v>Gönüllü gençlik liderlerinin çağırıldıkları faaliyetlere katılım durumları, merkez müdürlüğünce tutanak veya raporla düzenli takip ediliyor mu?</v>
          </cell>
          <cell r="B260" t="str">
            <v>Gençlik Liderliği Çalışma Usul Esas.</v>
          </cell>
          <cell r="C260" t="str">
            <v>md. 21/a</v>
          </cell>
        </row>
        <row r="261">
          <cell r="A261" t="str">
            <v>Peş peşe 3 faaliyete katılmadığı saptanan liderlerin belgelerinin iptali için Genel Müdürlüğe gerekli bildirimler süresinde yapılmış mıdır?</v>
          </cell>
          <cell r="B261" t="str">
            <v>Gençlik Liderliği Çalışma Usul Esas.</v>
          </cell>
          <cell r="C261" t="str">
            <v>md. 21</v>
          </cell>
        </row>
        <row r="262">
          <cell r="A262" t="str">
            <v>Gençlik liderlerinin yıllık performansları; Aralık ayının ilk haftasında "Gençlik Liderleri Değerlendirme Formu" (Ek-4) ile puanlanmakta mıdır?</v>
          </cell>
          <cell r="B262" t="str">
            <v>Gençlik Liderliği Çalışma Usul Esas.</v>
          </cell>
          <cell r="C262" t="str">
            <v>md. 19</v>
          </cell>
        </row>
        <row r="263">
          <cell r="A263" t="str">
            <v>Performans notu 70 puanın altında kalan gençlik liderlerinin belgelerinin iptali ve görevlerine son verilmesi işlemleri tesis edilmiş midir?</v>
          </cell>
          <cell r="B263" t="str">
            <v>Gençlik Liderliği Çalışma Usul Esas.</v>
          </cell>
          <cell r="C263" t="str">
            <v>md. 19/3</v>
          </cell>
        </row>
        <row r="264">
          <cell r="A264" t="str">
            <v>Personele ödenen görev ücretleri ile maaş ödemeleri, gelir vergisi açısından kümülatif matrah esas alınarak birlikte vergilendirilmekte midir?</v>
          </cell>
          <cell r="B264" t="str">
            <v>311 Seri No'lu Gelir Vergisi T</v>
          </cell>
          <cell r="C264" t="str">
            <v>tebliği</v>
          </cell>
        </row>
        <row r="265">
          <cell r="A265" t="str">
            <v>Görev ücreti ödemelerinde, matrah artışına bağlı olarak %20 veya %27 gibi artan oranlı vergi dilimlerinin uygulanıp uygulanmadığı kontrol edilmiş midir?</v>
          </cell>
          <cell r="B265" t="str">
            <v>Gelir Vergisi Kanunu Md. 1</v>
          </cell>
          <cell r="C265" t="str">
            <v>md. 103-104</v>
          </cell>
        </row>
        <row r="266">
          <cell r="A266" t="str">
            <v>Personelin başka bir kurumdan veya faaliyetten elde ettiği brüt ücret gelirlerinin kümülatif matrah hesabına dahil edildiği görülmüş müdür?</v>
          </cell>
          <cell r="B266" t="str">
            <v>311 Seri No'lu Gelir Vergisi T</v>
          </cell>
          <cell r="C266" t="str">
            <v>tebliği</v>
          </cell>
        </row>
        <row r="267">
          <cell r="A267" t="str">
            <v>Alınan mal ve hizmetlerin (taşımacılık, bakım-onarım vb.) KDV tevkifat oranlarının (2/10, 5/10, 9/10) tebliğe uygunluğu denetlenmekte midir?</v>
          </cell>
          <cell r="C267" t="str">
            <v>tebliği</v>
          </cell>
        </row>
        <row r="268">
          <cell r="A268" t="str">
            <v>5018 sayılı Kanun kapsamındaki hizmet ifalarında, KDV mükelleflerine yapılan ödemelerde 5/10 oranında tevkifat uygulamasına riayet ediliyor mu?</v>
          </cell>
          <cell r="B268" t="str">
            <v>KDV Genel Uygulama Tebliği 2.1.3.</v>
          </cell>
          <cell r="C268" t="str">
            <v>tebliği 2.1.3.2.13</v>
          </cell>
        </row>
        <row r="269">
          <cell r="A269" t="str">
            <v>Mali yılın son günü itibarıyla; kasa, vezne ve ambardaki değerli kağıtlar ile teminat mektupları sayım kurulu tarafından sayılmakta mıdır?</v>
          </cell>
          <cell r="B269" t="str">
            <v>Merkezi Yön. Muhasebe Yön.</v>
          </cell>
          <cell r="C269" t="str">
            <v>md. 543</v>
          </cell>
        </row>
        <row r="270">
          <cell r="A270" t="str">
            <v>Yıl sonu sayımları neticesinde "Değerli Kağıtlar Sayım Tutanağı" (Örnek:49/D) üç nüsha olarak düzenlenip muhafaza edilmekte midir?</v>
          </cell>
          <cell r="B270" t="str">
            <v>Merkezi Yön. Muhasebe Yön.</v>
          </cell>
          <cell r="C270" t="str">
            <v>md. 544</v>
          </cell>
        </row>
        <row r="271">
          <cell r="A271" t="str">
            <v>Büro makineleri, cihazlar ve mobilya gibi demirbaş niteliğindeki varlıklar, doğrudan "630-Giderler" hesabı yerine ilgili taşınır kodlarına (253, 255 vb.) kaydedilmekte midir?</v>
          </cell>
          <cell r="B271" t="str">
            <v>Merkezi Yönetim Muhasebe Yön.</v>
          </cell>
          <cell r="C271" t="str">
            <v>yön.</v>
          </cell>
        </row>
        <row r="272">
          <cell r="A272" t="str">
            <v>150-İlk Madde ve Malzemeler hesabına kaydedilmesi gereken tüketim malzemelerinin, muhasebe kayıtlarında doğrudan giderleştirilmesi engellenmiş midir?</v>
          </cell>
          <cell r="C272" t="str">
            <v>yön.</v>
          </cell>
        </row>
        <row r="273">
          <cell r="A273" t="str">
            <v>Kullanım ömrünü tamamlayarak hurdaya ayrılan maddi duran varlıklar için "294-Elden Çıkarılacak Stoklar ve Varlıklar Hesabı"na aktarım kaydı yapılmış mıdır?</v>
          </cell>
          <cell r="B273" t="str">
            <v>Merkezi Yönetim Muhasebe Yön.</v>
          </cell>
          <cell r="C273" t="str">
            <v>md. 214-215</v>
          </cell>
        </row>
        <row r="274">
          <cell r="A274" t="str">
            <v>294 nolu hesapta izlenen ve elden çıkarılmasına karar verilen varlıkların tasfiyesi için gerekli mali ve idari işlemler yürütülmekte midir?</v>
          </cell>
          <cell r="C274" t="str">
            <v>yön.</v>
          </cell>
        </row>
        <row r="275">
          <cell r="A275" t="str">
            <v>İşin kabulü veya garanti bitiminden itibaren iki yıl içinde geri alınmayan ihale teminatları, "330-Alınan Depozito ve Teminatlar" hesabından çıkarılarak bütçeye gelir kaydedilmiş mi?</v>
          </cell>
          <cell r="B275" t="str">
            <v>4735 S.K. Md. 13 / Merkezi Yön. Muhasebe Yön.</v>
          </cell>
          <cell r="C275" t="str">
            <v>md. 257</v>
          </cell>
        </row>
        <row r="276">
          <cell r="A276" t="str">
            <v>Mali yılı izleyen beşinci yılın sonuna kadar talep edilmeyen emanet hesaplarındaki tutarlar, zamanaşımı hükümleri gereği bütçeye gelir olarak aktarılmış mıdır?</v>
          </cell>
          <cell r="B276" t="str">
            <v xml:space="preserve">5018 Sayılı Kanun </v>
          </cell>
          <cell r="C276" t="str">
            <v>md. 34</v>
          </cell>
        </row>
        <row r="277">
          <cell r="A277" t="str">
            <v>Mizan kayıtlarında yer alan ve beş yılı aşan "333-Emanetler" hesabındaki bakiyelerin kamu idareleri lehine düşürülmesi işlemleri tesis edilmiş midir?</v>
          </cell>
          <cell r="B277" t="str">
            <v xml:space="preserve">5018 Sayılı Kanun </v>
          </cell>
          <cell r="C277" t="str">
            <v>md. 34</v>
          </cell>
        </row>
        <row r="278">
          <cell r="A278" t="str">
            <v>Sportif faaliyetler için mutemetlere verilen avanslar, faaliyet bitiminden itibaren en geç üç gün içinde kapatılmakta mıdır?</v>
          </cell>
          <cell r="B278" t="str">
            <v>Taşra Teşkilatı Bütçe Muhasebe Yön.</v>
          </cell>
          <cell r="C278" t="str">
            <v>md. 28</v>
          </cell>
        </row>
        <row r="279">
          <cell r="A279" t="str">
            <v>Süresinde kapatılmayan avanslar için mahsup işlemleri sırasında yasal faiz hesaplanarak tahsilatı yapılmakta mıdır?</v>
          </cell>
          <cell r="B279" t="str">
            <v>Taşra Teşkilatı Bütçe Muhasebe Yön.</v>
          </cell>
          <cell r="C279" t="str">
            <v>md. 28</v>
          </cell>
        </row>
        <row r="280">
          <cell r="A280" t="str">
            <v>Mutemet avans ödemelerinde; damga vergisi kesintisi avansın verildiği anda mı yoksa mahsup aşamasında mı gerçekleştirilmektedir?</v>
          </cell>
          <cell r="B280" t="str">
            <v xml:space="preserve">488 Sayılı Damga Vergisi </v>
          </cell>
          <cell r="C280" t="str">
            <v>kanunu</v>
          </cell>
        </row>
        <row r="281">
          <cell r="A281" t="str">
            <v>Görev ücreti ve harcırah ödemelerinde damga vergisi, mevzuata uygun şekilde binde 7,59 oranı üzerinden mi hesaplanmaktadır?</v>
          </cell>
          <cell r="B281" t="str">
            <v>488 Sayılı DVK (1) Sayılı Tablo IV-1/b</v>
          </cell>
          <cell r="C281" t="str">
            <v>ıv-1/b</v>
          </cell>
        </row>
        <row r="282">
          <cell r="A282" t="str">
            <v>Sporcu harcırah ödemelerinde damga vergisi kesintisi yapılarak, brüt tutar ile net tutar arasındaki fark bordrolara yansıtılıyor mu?</v>
          </cell>
          <cell r="B282" t="str">
            <v xml:space="preserve">488 Sayılı Damga Vergisi </v>
          </cell>
          <cell r="C282" t="str">
            <v>kanunu</v>
          </cell>
        </row>
        <row r="283">
          <cell r="A283" t="str">
            <v>Mal ve hizmet alımlarına ilişkin damga vergisi hesaplamalarında, KDV hariç tutar üzerinden mi işlem tesis edilmektedir?</v>
          </cell>
          <cell r="B283" t="str">
            <v>30 Seri No'lu Damga Vergisi Genel T</v>
          </cell>
          <cell r="C283" t="str">
            <v>tebliği</v>
          </cell>
        </row>
        <row r="284">
          <cell r="A284" t="str">
            <v>Resmî dairelerce alınan ihale kararlarından binde 5,69 oranında "Karar Damga Vergisi" tahsil edilerek dosyasına eklenmiş midir?</v>
          </cell>
          <cell r="B284" t="str">
            <v>DVK (1) Sayılı Tablo 2. Madde</v>
          </cell>
          <cell r="C284" t="str">
            <v>madde</v>
          </cell>
        </row>
        <row r="285">
          <cell r="A285" t="str">
            <v>Geçici görev yolluğu bildirimleri; her görevlendirme için ayrı ayrı ve görevin bitişini müteakip makul sürede mi düzenlenmektedir?</v>
          </cell>
          <cell r="B285" t="str">
            <v>Harcırah Kanunu / Merkezi Yön. Harcama Belg.</v>
          </cell>
          <cell r="C285" t="str">
            <v>harcama belg. yön.</v>
          </cell>
        </row>
        <row r="286">
          <cell r="A286" t="str">
            <v>Farklı tarihlere ait günübirlik görevlerin, uzun süre bekletilerek toplu bir formla beyan edilmesi uygulamasına rastlanmış mıdır?</v>
          </cell>
          <cell r="B286" t="str">
            <v>Merkezi Yönetim Harcama Belgeler</v>
          </cell>
          <cell r="C286" t="str">
            <v>yön.</v>
          </cell>
        </row>
        <row r="287">
          <cell r="A287" t="str">
            <v>Yurt içi geçici görevlerde konaklama bedeli ödemeleri için otel faturası/fatura yerine geçen belge aslı aranmakta mıdır?</v>
          </cell>
          <cell r="C287" t="str">
            <v>md. 33/d</v>
          </cell>
        </row>
        <row r="288">
          <cell r="A288" t="str">
            <v>Konaklama belgesi (fatura) ibraz edemeyen personele, kendi düzenlediği tutanağa istinaden usulsüz ödeme yapılması engellenmiş midir?</v>
          </cell>
          <cell r="B288" t="str">
            <v>Merkezi Yön. Harcama Belg.</v>
          </cell>
          <cell r="C288" t="str">
            <v>harcama belg. yön.</v>
          </cell>
        </row>
        <row r="289">
          <cell r="A289" t="str">
            <v>İşleticilere (kantin, lokanta vb.) teslim edilen ve sözleşme sonunda geri alınacak olan demirbaşlar "256-Hizmet İmtiyaz Varlıklar Hesabı"nda izleniyor mu?</v>
          </cell>
          <cell r="B289" t="str">
            <v>Merkezi Yönetim Muhasebe Yön.</v>
          </cell>
          <cell r="C289" t="str">
            <v>md. 184</v>
          </cell>
        </row>
        <row r="290">
          <cell r="A290" t="str">
            <v>Hizmet imtiyaz sözleşmesine konu varlıkların birikmiş amortismanları, ilgili "257-Birikmiş Amortismanlar Hesabı" ile uyumlu şekilde muhasebeleştirilmiş midir?</v>
          </cell>
          <cell r="B290" t="str">
            <v>Merkezi Yönetim Muhasebe Yön.</v>
          </cell>
          <cell r="C290" t="str">
            <v>md. 184</v>
          </cell>
        </row>
        <row r="291">
          <cell r="A291" t="str">
            <v>İdarenin borçlanmaları veya gecikme faizleri nedeniyle tahakkuk eden faiz giderleri, "630-Giderler Hesabı" altında ilgili döneminde kaydedilmiş mi?</v>
          </cell>
          <cell r="B291" t="str">
            <v>Genel Yönetim Muhasebe Yön.</v>
          </cell>
          <cell r="C291" t="str">
            <v>md. 36-263</v>
          </cell>
        </row>
        <row r="292">
          <cell r="A292" t="str">
            <v>Kısa vadeli kaynakların değerlendirilmesinde uygulanan faiz oranları, Kamu Haznedarlığı Tebliği'nde belirtilen (TCMB ağırlıklı ortalamasına bağlı) alt limitlerin üzerinde midir?</v>
          </cell>
          <cell r="B292" t="str">
            <v>Kamu Haznedarlığı Genel Tebliği</v>
          </cell>
          <cell r="C292" t="str">
            <v>md. 6</v>
          </cell>
        </row>
        <row r="293">
          <cell r="A293" t="str">
            <v>Sürekli görev yolluğu hesaplamalarında; değişken unsur olan kilometre bedeli, sadece memurun kendisi için gündeliğinin %5'i üzerinden mi hesaplanmaktadır?</v>
          </cell>
          <cell r="B293" t="str">
            <v xml:space="preserve">6245 Sayılı Harcırah Kanunu </v>
          </cell>
          <cell r="C293" t="str">
            <v>md. 45</v>
          </cell>
        </row>
        <row r="294">
          <cell r="A294" t="str">
            <v>Naklen atanan personelin yolluk bildirimlerinde; aile fertleri ve değişken unsur hesaplamalarının noksan ödemeye yer vermeyecek şekilde doğruluğu kontrol edilmiş midir?</v>
          </cell>
          <cell r="B294" t="str">
            <v>6245 Sayılı Harcırah Kanunu Md.</v>
          </cell>
          <cell r="C294" t="str">
            <v>md. 10-45</v>
          </cell>
        </row>
        <row r="295">
          <cell r="A295" t="str">
            <v>Geçici görev yolluğu ödemelerinde; yevmiye sayıları, seyahat vasıtasının hareket ve varış saatleri (her 24 saat için 1 gün) dikkate alınarak mı hesaplanmaktadır?</v>
          </cell>
          <cell r="B295" t="str">
            <v xml:space="preserve">6245 Sayılı Harcırah Kanunu </v>
          </cell>
          <cell r="C295" t="str">
            <v>md. 43</v>
          </cell>
        </row>
        <row r="296">
          <cell r="A296" t="str">
            <v>Organizasyonlara katılımda; fiili gidiş-dönüş tarihleri ile konaklama belgeleri uyuşmadığı halde, Olur'daki tarihlere dayanılarak fazladan yevmiye ödenmesi engellenmiş midir?</v>
          </cell>
          <cell r="B296" t="str">
            <v>3289 S.K. Md. 29 / 6245 S.K.</v>
          </cell>
          <cell r="C296" t="str">
            <v>md. 43</v>
          </cell>
        </row>
        <row r="297">
          <cell r="A297" t="str">
            <v>Günübirlik görevlendirmelerde; gidiş-dönüş saatleri belirtilmediği takdirde yevmiyenin 1/3 oranında ödenmesi kuralına riayet edilmekte midir?</v>
          </cell>
          <cell r="B297" t="str">
            <v xml:space="preserve">6245 Sayılı Harcırah Kanunu </v>
          </cell>
          <cell r="C297" t="str">
            <v>md. 39</v>
          </cell>
        </row>
        <row r="298">
          <cell r="A298" t="str">
            <v>Geceyi memuriyet mahalli dışında geçirmeyen personele, fiili durumun aksine "tam harcırah" ödenmesi uygulamasına rastlanmış mıdır?</v>
          </cell>
          <cell r="B298" t="str">
            <v xml:space="preserve">6245 Sayılı Harcırah Kanunu </v>
          </cell>
          <cell r="C298" t="str">
            <v>md. 39</v>
          </cell>
        </row>
        <row r="299">
          <cell r="A299" t="str">
            <v>Harcırah ödemelerinde, gidip gelmeye en uygun ve mutat olan vasıta (otobüs vb.) yerine yüksek tutarlı taksi beyanları kabul ediliyor mu?</v>
          </cell>
          <cell r="B299" t="str">
            <v>6245 Sayılı Harcırah Kanunu</v>
          </cell>
          <cell r="C299" t="str">
            <v>md. 6</v>
          </cell>
        </row>
        <row r="300">
          <cell r="A300" t="str">
            <v>Mutat vasıta dışındaki araç kullanımı için (taksi vb.) işin gereğine binaen harcama yetkilisinden önceden alınmış yazılı bir emir bulunmakta mıdır?</v>
          </cell>
          <cell r="B300" t="str">
            <v>6245 Sayılı Harcırah Kanunu</v>
          </cell>
          <cell r="C300" t="str">
            <v>md. 6</v>
          </cell>
        </row>
        <row r="301">
          <cell r="A301" t="str">
            <v>Tedavi veya karantina süresince iaşe ve ibateleri diğer kamu kurumlarınca karşılanan personele, mükerrerliğe yol açacak şekilde yevmiye ödenmiş mi?</v>
          </cell>
          <cell r="B301" t="str">
            <v xml:space="preserve">6245 Sayılı Harcırah Kanunu </v>
          </cell>
          <cell r="C301" t="str">
            <v>md. 40</v>
          </cell>
        </row>
        <row r="302">
          <cell r="A302" t="str">
            <v>Geçici görevden dönen personel, harcırah beyannamesini kanuni süresi olan "bir ay" içerisinde idareye teslim etmekte midir?</v>
          </cell>
          <cell r="B302" t="str">
            <v xml:space="preserve">6245 Sayılı Harcırah Kanunu </v>
          </cell>
          <cell r="C302" t="str">
            <v>md. 59</v>
          </cell>
        </row>
        <row r="303">
          <cell r="A303" t="str">
            <v>İdareci, antrenör ve sporcuların harcırahları; mevzuatta öngörülen kadro dereceleri (2. ve 4. derece vb.) üzerinden doğru hesaplanmakta mıdır?</v>
          </cell>
          <cell r="B303" t="str">
            <v>85/9616 Sayılı BKK</v>
          </cell>
          <cell r="C303" t="str">
            <v>md. 4</v>
          </cell>
        </row>
        <row r="304">
          <cell r="A304" t="str">
            <v>Federasyon faaliyetleri ile İl Müdürlüğü faaliyetlerinin çakışması durumunda, personelin toplamda kaç seans üzerinden ödeme aldığı takip ediliyor mu?</v>
          </cell>
          <cell r="C304" t="str">
            <v>esaslar</v>
          </cell>
        </row>
        <row r="305">
          <cell r="A305" t="str">
            <v>Federasyonlardan temin edilen seans bilgileri ile İl Müdürlüğü bordroları karşılaştırılarak, fazla ödenen görev ücretleri tespit ve tahsil ediliyor mu?</v>
          </cell>
          <cell r="B305" t="str">
            <v>Kamu Zararlarının Tahsiline İlişkin Usul</v>
          </cell>
          <cell r="C305" t="str">
            <v>esas.</v>
          </cell>
        </row>
        <row r="306">
          <cell r="A306" t="str">
            <v>Mutemet makbuzları; müteselsil seri numaralı olarak "Mutemet Makbuz Defteri"ne kaydedilip muhasebe yetkilisince imza karşılığı teslim ediliyor mu?</v>
          </cell>
          <cell r="B306" t="str">
            <v>Taşra Teşkilatı Bütçe Muhasebe Yön.</v>
          </cell>
          <cell r="C306" t="str">
            <v>md. 17</v>
          </cell>
        </row>
        <row r="307">
          <cell r="A307" t="str">
            <v>Mutemetler tarafından bir gün içinde toplanan gelirlerin, en geç ertesi iş günü banka hesabına yatırıldığı görülmüş müdür?</v>
          </cell>
          <cell r="B307" t="str">
            <v>Taşra Teşkilatı Bütçe Muhasebe Yön.</v>
          </cell>
          <cell r="C307" t="str">
            <v>md. 17/2</v>
          </cell>
        </row>
        <row r="308">
          <cell r="A308" t="str">
            <v>Biten makbuz koçanlarının dip koçanları geri alınarak, muhasebe biriminde usulüne uygun şekilde muhafaza ve kontrol edilmekte midir?</v>
          </cell>
          <cell r="B308" t="str">
            <v>Taşra Teşkilatı Bütçe Muhasebe Yön.</v>
          </cell>
          <cell r="C308" t="str">
            <v>md. 17</v>
          </cell>
        </row>
        <row r="309">
          <cell r="A309" t="str">
            <v>Misafirhane ve eğitim merkezlerinden tahsil edilen konaklama gelirleri, tahsilatı izleyen ilk iş günü banka hesabına yatırılmakta mıdır?</v>
          </cell>
          <cell r="C309" t="str">
            <v>md. 26</v>
          </cell>
        </row>
        <row r="310">
          <cell r="A310" t="str">
            <v>Elektrik, su, doğalgaz ve telefon faturalarının geç ödenmesi nedeniyle oluşan gecikme zammı ve faiz giderleri, sorumlularından tazmin ediliyor mu?</v>
          </cell>
          <cell r="B310" t="str">
            <v>5018 S.K. Md.</v>
          </cell>
          <cell r="C310" t="str">
            <v>md. 71 / kamu zararı yön.</v>
          </cell>
        </row>
        <row r="311">
          <cell r="A311" t="str">
            <v>Elektrik faturalarında yer alan "reaktif enerji bedeli" ödemelerinin, ek mali yük oluşturduğu kabul edilerek önüne geçilmesi için tedbir alınmış mı?</v>
          </cell>
          <cell r="C311" t="str">
            <v>yazı</v>
          </cell>
        </row>
        <row r="312">
          <cell r="A312" t="str">
            <v>Abonelik işlemleri için gerekli teminatlar, Bakanlık talimatı uyarınca nakdi ödeme yerine "Banka Teminat Mektubu" ile mi tesis edilmektedir?</v>
          </cell>
          <cell r="B312" t="str">
            <v>SGB 21.07.</v>
          </cell>
          <cell r="C312" t="str">
            <v>yazı</v>
          </cell>
        </row>
        <row r="313">
          <cell r="A313" t="str">
            <v>Kurumsal telefon hatlarının tarifeleri; konuşma süreleri ve kullanım amaçları doğrultusunda kontrol edilerek en uygun pakete geçiş yapılmış mıdır?</v>
          </cell>
          <cell r="B313" t="str">
            <v>5018 S.K. (Ekonomiklik ve Verimlilik İlkesi)</v>
          </cell>
          <cell r="C313" t="str">
            <v>ilkesi)</v>
          </cell>
        </row>
        <row r="314">
          <cell r="A314" t="str">
            <v>Telefon faturaları üzerindeki "kullanım ücreti" aşımı, ilgili personelce denetlenerek faaliyet dışı kullanımların tespiti ve engellenmesi sağlanıyor mu?</v>
          </cell>
          <cell r="C314" t="str">
            <v>kullanımı</v>
          </cell>
        </row>
        <row r="315">
          <cell r="A315" t="str">
            <v>Resmi veya kiralık araçlarla yapılan seyahatlerde, Harcırah Kanunu'nun 31. maddesine aykırı olarak kişilere rayiç bedel üzerinden yol ücreti ödenmesi engellenmiş midir?</v>
          </cell>
          <cell r="B315" t="str">
            <v xml:space="preserve">6245 Sayılı Harcırah Kanunu </v>
          </cell>
          <cell r="C315" t="str">
            <v>md. 31</v>
          </cell>
        </row>
        <row r="316">
          <cell r="A316" t="str">
            <v>Emanet hesaplarında bekletilen; kaynağı belirsiz tutarlar, idari para cezaları ve diğer gelirlerin zamanında bütçeye gelir kaydedildiği görülmüş müdür?</v>
          </cell>
          <cell r="C316" t="str">
            <v>yönetmeliği</v>
          </cell>
        </row>
        <row r="317">
          <cell r="A317" t="str">
            <v>Müsabaka ve faaliyetler için bastırılan biletlerin, satış öncesinde İl Müdürlüğü resmi mührü veya soğuk damgası ile mühürlendiği saptanmış mıdır?</v>
          </cell>
          <cell r="B317" t="str">
            <v>Taşra Teşkilatı Bütçe Muhasebe Yön.</v>
          </cell>
          <cell r="C317" t="str">
            <v>md. 42</v>
          </cell>
        </row>
        <row r="318">
          <cell r="A318" t="str">
            <v>Bilet basım ve teslim alma tutanakları; renk, fiyat ve seri numaralarını içerecek şekilde komisyonca düzenlenip matbaacıya imzalatılmakta mıdır?</v>
          </cell>
          <cell r="B318" t="str">
            <v>Taşra Teşkilatı Bütçe Muhasebe Yön.</v>
          </cell>
          <cell r="C318" t="str">
            <v>md. 41</v>
          </cell>
        </row>
        <row r="319">
          <cell r="A319" t="str">
            <v>Kullanım dışı kalan, güncelliğini yitiren veya 5 yıllık saklama süresi dolan biletlerin imhası, mevzuatta öngörülen 4 kişilik komisyon marifetiyle yapılıyor mu?</v>
          </cell>
          <cell r="B319" t="str">
            <v>Taşra Teşkilatı Bütçe Muhasebe Yön.</v>
          </cell>
          <cell r="C319" t="str">
            <v>md. 43</v>
          </cell>
        </row>
        <row r="320">
          <cell r="A320" t="str">
            <v>Telefon faturaları ödenirken; şehirlerarası görüşmeler için resmi-özel ayrımı yapılarak kullanıcı beyanı ve amir onayı aranmakta mıdır?</v>
          </cell>
          <cell r="B320" t="str">
            <v>Merkezi Yön. Harcama Belgeleri Yön.</v>
          </cell>
          <cell r="C320" t="str">
            <v>md. 43</v>
          </cell>
        </row>
        <row r="321">
          <cell r="A321" t="str">
            <v>Bilet basım tutanaklarının bir örneği harcama belgesine (masraf fişi) eklenmekte, diğer örneği ise "Bilet Defteri"ne usulüne uygun yapıştırılmakta mıdır?</v>
          </cell>
          <cell r="B321" t="str">
            <v>Taşra Teşkilatı Bütçe Muhasebe Yön.</v>
          </cell>
          <cell r="C321" t="str">
            <v>md. 41</v>
          </cell>
        </row>
        <row r="322">
          <cell r="A322" t="str">
            <v>İdare adına para tahsil eden tüm personelin "Muhasebe Yetkilisi Mutemedi" olarak yazılı görevlendirmesi yapılmış ve kefalete tabi tutulmuş mudur?</v>
          </cell>
          <cell r="B322" t="str">
            <v>M.Y.</v>
          </cell>
          <cell r="C322" t="str">
            <v>mutemetleri yönetmeliği md. 5</v>
          </cell>
        </row>
        <row r="323">
          <cell r="A323" t="str">
            <v>Vakıf ve dernek yurtlarındaki öğrencilere yapılan beslenme ve barınma yardımlarında; fatura ekinde günlük/aylık icmal listeleri ve öğrenci imzaları aranmakta mıdır?</v>
          </cell>
          <cell r="B323" t="str">
            <v>Beslenme ve Barınma Yardımı Usul Esas.</v>
          </cell>
          <cell r="C323" t="str">
            <v>md. 7</v>
          </cell>
        </row>
        <row r="324">
          <cell r="A324" t="str">
            <v>Yardım yapılan kişilerin "öğrenci" statüsünde olup olmadıkları; öğrenci belgesi veya sistem kayıtları üzerinden teyit edilerek dosyasında tevsik ediliyor mu?</v>
          </cell>
          <cell r="B324" t="str">
            <v>Beslenme ve Barınma Yardımı Usul Esas.</v>
          </cell>
          <cell r="C324" t="str">
            <v>md. 7</v>
          </cell>
        </row>
        <row r="325">
          <cell r="A325" t="str">
            <v>Özel barınma kurumlarının denetim raporlarında tespit edilen eksiklikler hakkında kurumlara resmi bildirim/uyarı yapılmış mıdır?</v>
          </cell>
          <cell r="C325" t="str">
            <v>yön.</v>
          </cell>
        </row>
        <row r="326">
          <cell r="A326" t="str">
            <v>Reklam, tahsis ve kira sözleşmelerinden elde edilen gelirler üzerinden ayrıca %5 oranında "Amatör Spor Payı" hesaplanıp tahsil edilmekte midir?</v>
          </cell>
          <cell r="C326" t="str">
            <v>md. 12</v>
          </cell>
        </row>
        <row r="327">
          <cell r="A327" t="str">
            <v>İşletme gelirleri ve sözleşmeler kapsamında yapılması gereken yasal vergi kesintileri (stopaj vb.) muhasebe kayıtlarında tam olarak gösteriliyor mu?</v>
          </cell>
          <cell r="B327" t="str">
            <v>İşletme Yönetmeliği Md. 12 / Vergi Kan</v>
          </cell>
          <cell r="C327" t="str">
            <v>kanunları</v>
          </cell>
        </row>
        <row r="328">
          <cell r="A328" t="str">
            <v>Tesis reklam bedelleri, İl Reklam Komisyonu tarafından belirlenen limitler altında kalmayacak şekilde pazarlanıp zamanında tahsil ediliyor mu?</v>
          </cell>
          <cell r="B328" t="str">
            <v>İşletme Yönetmeliği / Reklam Ta</v>
          </cell>
          <cell r="C328" t="str">
            <v>talimatı</v>
          </cell>
        </row>
        <row r="329">
          <cell r="A329" t="str">
            <v>Sözleşme süresi biten reklam afiş ve panolarının tesisten derhal kaldırılması veya sözleşmenin yasal faizli/güncel bedelle yenilenmesi sağlanmış mıdır?</v>
          </cell>
          <cell r="C329" t="str">
            <v>yönetmeliği</v>
          </cell>
        </row>
        <row r="330">
          <cell r="A330" t="str">
            <v>Müsabaka hasılatından ayrılan %7 oranındaki "Genel Müdürlük Payı", faaliyetten sonraki üç iş günü içinde ilgili hesaba aktarılmakta mıdır?</v>
          </cell>
          <cell r="B330" t="str">
            <v>Hasılat Dağıtım Yönetmeliği Md</v>
          </cell>
          <cell r="C330" t="str">
            <v>md. 5-13</v>
          </cell>
        </row>
        <row r="331">
          <cell r="A331" t="str">
            <v>İl Müdürlüğü %18'lik payının 1/3'ü emanete alınarak, yıl sonunda profesyonel takımı olmayan amatör spor kulüplerine eşit dağıtılmış mıdır?</v>
          </cell>
          <cell r="B331" t="str">
            <v>Hasılat Dağıtım Yönetmeliği</v>
          </cell>
          <cell r="C331" t="str">
            <v>md. 7</v>
          </cell>
        </row>
        <row r="332">
          <cell r="A332" t="str">
            <v>İntifa hakkı verilen veya Bakanlığa ait tesislerde oynanan profesyonel futbol müsabakalarından elde edilen hasılatın %7'si Genel Müdürlüğe gönderiliyor mu?</v>
          </cell>
          <cell r="B332" t="str">
            <v>Hasılat Dağıtım Yönetmeliği</v>
          </cell>
          <cell r="C332" t="str">
            <v>md. 8</v>
          </cell>
        </row>
        <row r="333">
          <cell r="A333" t="str">
            <v>Profesyonel futbol müsabakaları için yayıncı kuruluşlardan alınması gereken "Naklen Yayın Giriş Ücretleri" sezonluk talimatlara göre tahsil ediliyor mu?</v>
          </cell>
          <cell r="B333" t="str">
            <v>Hasılat Dağıtım Yön.</v>
          </cell>
          <cell r="C333" t="str">
            <v>md. 47 / bakanlık talimatları</v>
          </cell>
        </row>
        <row r="334">
          <cell r="A334" t="str">
            <v>İlgili kulüplerden tahsil edilmesi gereken tesis kira ücretleri ile Bakanlık ve İl Müdürlüğü paylarının takibi ve tahakkuk işlemleri düzenli yapılmış mıdır?</v>
          </cell>
          <cell r="B334" t="str">
            <v>Yatırım ve İşletmeler Genel Müd. Sezonluk Ya</v>
          </cell>
          <cell r="C334" t="str">
            <v>yazıları</v>
          </cell>
        </row>
        <row r="335">
          <cell r="A335" t="str">
            <v>Taşınır Kayıt Kontrol Yetkilisi olarak görevlendirilen personele ödenen (575) puanlık "Mali Sorumluluk Zammı", görevden ayrılma durumunda kesilmekte midir?</v>
          </cell>
          <cell r="B335" t="str">
            <v>2016/10344 Sayılı BKK / Yan Ödeme Karar</v>
          </cell>
          <cell r="C335" t="str">
            <v>kararnamesi</v>
          </cell>
        </row>
        <row r="336">
          <cell r="A336" t="str">
            <v>Kargo hizmet bedeli ödemelerinde; gönderilerin şahsi olmadığına dair açıklayıcı bilgiler ve kurumsal alıcı detayları ödeme belgesine ekleniyor mu?</v>
          </cell>
          <cell r="B336" t="str">
            <v>Merkezi Yönetim Harcama Belgeler</v>
          </cell>
          <cell r="C336" t="str">
            <v>yön.</v>
          </cell>
        </row>
        <row r="337">
          <cell r="A337" t="str">
            <v>Personel maaş bordrolarında; mevzuatta öngörülmeyen yemek ücreti, dernek aidatı gibi özel borç ve kesintilere yer verilmesi engellenmiş midir?</v>
          </cell>
          <cell r="B337" t="str">
            <v>Aylıkların Banka Aracılığıyla Ödenmesi T</v>
          </cell>
          <cell r="C337" t="str">
            <v>tebliği</v>
          </cell>
        </row>
        <row r="338">
          <cell r="A338" t="str">
            <v>Tesis ve lojman gelirlerine ilişkin muhasebe işlem fişleri ekinde; ücret cetvelleri, sözleşmeler ve tesis işletme defteri örnekleri bulunmakta mıdır?</v>
          </cell>
          <cell r="C338" t="str">
            <v>yönetmeliği</v>
          </cell>
        </row>
        <row r="339">
          <cell r="A339" t="str">
            <v>Gelir tahsilatlarında sadece banka dekontu ile yetinilmeyip, tahakkuka esas olan tüm komisyon kararları ve dayanak belgeler dosyalanıyor mu?</v>
          </cell>
          <cell r="C339" t="str">
            <v>yönetmeliği</v>
          </cell>
        </row>
        <row r="340">
          <cell r="A340" t="str">
            <v>Ölüm yardımı ödemeleri; 657 sayılı Kanun uyarınca hiçbir vergi (damga vergisi dahil) ve kesintiye tabi tutulmaksızın net tutar üzerinden mi yapılıyor?</v>
          </cell>
          <cell r="B340" t="str">
            <v>657 Sayılı DMK M</v>
          </cell>
          <cell r="C340" t="str">
            <v>md. 208</v>
          </cell>
        </row>
        <row r="341">
          <cell r="A341" t="str">
            <v>Hizmet erbabına ödenen çocuk zamları ve yardımları, Gelir Vergisi Kanunu uyarınca vergi matrahı dışında tutulmakta mıdır?</v>
          </cell>
          <cell r="B341" t="str">
            <v xml:space="preserve">Gelir Vergisi Kanunu </v>
          </cell>
          <cell r="C341" t="str">
            <v>md. 25</v>
          </cell>
        </row>
        <row r="342">
          <cell r="A342" t="str">
            <v>İşçilere ödenen ilave tediyelerden, 6772 sayılı Kanun'un 4. maddesine aykırı olarak icra kesintisi yapılması engellenmiş midir?</v>
          </cell>
          <cell r="B342" t="str">
            <v>6772 Sayılı Kanun</v>
          </cell>
          <cell r="C342" t="str">
            <v>md. 4</v>
          </cell>
        </row>
        <row r="343">
          <cell r="A343" t="str">
            <v>Muhasebe ve gelir evrakları (Örnek No: 2, 2/A ve 5); yangın, rutubet ve hırsızlığa karşı korunaklı bir arşiv düzeninde muhafaza ediliyor mu?</v>
          </cell>
          <cell r="B343" t="str">
            <v>Devlet Arşiv Hizmetleri Yön.</v>
          </cell>
          <cell r="C343" t="str">
            <v>md. 5</v>
          </cell>
        </row>
        <row r="344">
          <cell r="A344" t="str">
            <v>Bir takvim yılındaki hastalık izni toplamı 7 günü aşan memurların, aşan sürelere ait zam ve tazminatları %25 eksik ödenmekte midir?</v>
          </cell>
          <cell r="B344" t="str">
            <v>657 Sayılı DMK M</v>
          </cell>
          <cell r="C344" t="str">
            <v>md. 152</v>
          </cell>
        </row>
        <row r="345">
          <cell r="A345" t="str">
            <v>Maaş bordroları ile sıhhi izin süreleri karşılaştırılarak, yasal sınır üzerindeki rapor günleri için gerekli mali kesintiler tesis edilmiş mi?</v>
          </cell>
          <cell r="B345" t="str">
            <v>657 Sayılı DMK M</v>
          </cell>
          <cell r="C345" t="str">
            <v>md. 152</v>
          </cell>
        </row>
        <row r="346">
          <cell r="A346" t="str">
            <v>Yaklaşık maliyet tespitine esas teklif veren firmalardan, ihale onayından sonraki piyasa fiyat araştırmasında da teklif alınması engellenmiş midir?</v>
          </cell>
          <cell r="B346" t="str">
            <v>4734 Sayılı Kanun Md</v>
          </cell>
          <cell r="C346" t="str">
            <v>md. 9-22</v>
          </cell>
        </row>
        <row r="347">
          <cell r="A347" t="str">
            <v>Piyasa fiyat araştırması tutanakları, teklif mektupları ve muayene kabul komisyon belgeleri eksiksiz imzalı ve tarihli olarak düzenleniyor mu?</v>
          </cell>
          <cell r="B347" t="str">
            <v>4734 Sayılı Kanun / Kamu İhale Genel T</v>
          </cell>
          <cell r="C347" t="str">
            <v>tebliği</v>
          </cell>
        </row>
        <row r="348">
          <cell r="A348" t="str">
            <v>Belli bir süreyi gerektiren mal teslimi, hizmet alımı veya yapım işlerinde, idarenin takdirine bırakılmaksızın "Sözleşme" imzalanmakta mıdır?</v>
          </cell>
          <cell r="B348" t="str">
            <v xml:space="preserve">Kamu İhale Genel Tebliği </v>
          </cell>
          <cell r="C348" t="str">
            <v>md. 22</v>
          </cell>
        </row>
        <row r="349">
          <cell r="A349" t="str">
            <v>22/d bendi kapsamında yapılan alımlarda, piyasa araştırması sonucunda parasal limitlerin aşılacağı saptandığında ihale usulüne geçiliyor mu?</v>
          </cell>
          <cell r="B349" t="str">
            <v>Kamu İhale Genel Tebliği Md. 22.</v>
          </cell>
          <cell r="C349" t="str">
            <v>md. 22.5.1</v>
          </cell>
        </row>
        <row r="350">
          <cell r="A350" t="str">
            <v>Teknik bilgi gerektiren alımlarda; konusunda uzman teknik personelce hazırlanmış ve imzalanmış "Teknik Şartnameler" dosyada yer alıyor mu?</v>
          </cell>
          <cell r="B350" t="str">
            <v xml:space="preserve">4734 Sayılı Kanun </v>
          </cell>
          <cell r="C350" t="str">
            <v>md. 12</v>
          </cell>
        </row>
        <row r="351">
          <cell r="A351" t="str">
            <v>Satın alma sürecinin başında, ihtiyacın niteliğini ve gerekçesini belirten "İhtiyaç Talep Formları" birimlerce usulüne uygun hazırlanıyor mu?</v>
          </cell>
          <cell r="C351" t="str">
            <v>esasları</v>
          </cell>
        </row>
        <row r="352">
          <cell r="A352" t="str">
            <v>Doğrudan temin ve pazarlık usulü ile yapılan harcamaların yıllık toplamı, personel giderleri hariç bütçe ödeneklerinin %10'unu aşmakta mıdır?</v>
          </cell>
          <cell r="B352" t="str">
            <v>4734 Sayılı Kanun Md</v>
          </cell>
          <cell r="C352" t="str">
            <v>md. 62/ı</v>
          </cell>
        </row>
        <row r="353">
          <cell r="A353" t="str">
            <v>Doğrudan temin yoluyla yapılan yapım işlerinde yaklaşık maliyet; "Yapım İşleri İhaleleri Uygulama Yönetmeliği" usullerine göre mi hesaplanıyor?</v>
          </cell>
          <cell r="B353" t="str">
            <v>Kamu İhale Genel Tebliği Md. 22.</v>
          </cell>
          <cell r="C353" t="str">
            <v>md. 22.5.1</v>
          </cell>
        </row>
        <row r="354">
          <cell r="A354" t="str">
            <v>Alınan kesin teminat mektuplarının geçerliliği; ilgili banka veya sigorta şirketinden yazılı/elektronik ortamda teyit edilmiş midir?</v>
          </cell>
          <cell r="B354" t="str">
            <v xml:space="preserve">Kamu İhale Genel Tebliği </v>
          </cell>
          <cell r="C354" t="str">
            <v>md. 18</v>
          </cell>
        </row>
        <row r="355">
          <cell r="A355" t="str">
            <v>Kesin teminat mektuplarının teyit işlemleri, mevzuatta öngörülen en geç "5 iş günü" içerisinde tamamlanarak dosyasına eklenmiş mi?</v>
          </cell>
          <cell r="B355" t="str">
            <v>Teminat Mektupları Teyit İşlemleri</v>
          </cell>
          <cell r="C355" t="str">
            <v>md. 8</v>
          </cell>
        </row>
        <row r="356">
          <cell r="A356" t="str">
            <v>Alım süreci başlamadan önce düzenlenen Onay Belgelerinde, kullanılabilir ödenek tutarı yaklaşık maliyeti karşılayacak şekilde belirtilmiş midir?</v>
          </cell>
          <cell r="B356" t="str">
            <v>4734 Sayılı Kanun</v>
          </cell>
          <cell r="C356" t="str">
            <v>md. 5</v>
          </cell>
        </row>
        <row r="357">
          <cell r="A357" t="str">
            <v>Muayene ve kabul komisyonları; mal alımlarında en az bir, hizmet ve yapım işlerinde ise tamamı teknik uzman/eleman olacak şekilde kurulmuş mu?</v>
          </cell>
          <cell r="C357" t="str">
            <v>yönetmelikleri</v>
          </cell>
        </row>
        <row r="358">
          <cell r="A358" t="str">
            <v>Teknik özellikli alımlarda, teslim alınan işin niteliğine uygun uzman personel bulunmayan komisyonlarca kabul işlemi yapılması engellenmiş midir?</v>
          </cell>
          <cell r="C358" t="str">
            <v>yönetmelikleri</v>
          </cell>
        </row>
        <row r="359">
          <cell r="A359" t="str">
            <v>2.000 TL üzerindeki ödemelerde, hak sahiplerinin vadesi geçmiş vergi borcu bulunmadığına dair güncel belge (15 gün geçerli) kontrol ediliyor mu?</v>
          </cell>
          <cell r="B359" t="str">
            <v>6183 S.K. Md.</v>
          </cell>
          <cell r="C359" t="str">
            <v>22/a / tahsilat gn. tebliğ</v>
          </cell>
        </row>
        <row r="360">
          <cell r="A360" t="str">
            <v>Benzer veya aynı nitelikteki mal, hizmet ve yapım işleri; parasal limitlerin altında kalmak amacıyla kısımlara bölünerek doğrudan teminle mi yapılıyor?</v>
          </cell>
          <cell r="B360" t="str">
            <v>4734 Sayılı Kanun Md. 5 / Tebliğ 22.5.</v>
          </cell>
          <cell r="C360" t="str">
            <v>tebliğ 22.5.1.2</v>
          </cell>
        </row>
        <row r="361">
          <cell r="A361" t="str">
            <v>Oda, büro ve ortak alanlara tahsis edilen dayanıklı taşınırlar için "Dayanıklı Taşınırlar Listesi" (Örnek: 8) düzenlenip ilgili alanlara asılmış mıdır?</v>
          </cell>
          <cell r="B361" t="str">
            <v>Taşınır Mal Yönetmeliği Md</v>
          </cell>
          <cell r="C361" t="str">
            <v>md. 10/ç</v>
          </cell>
        </row>
        <row r="362">
          <cell r="A362" t="str">
            <v>Taşınır Kayıt Yetkilileri arasındaki devirlerde; fiili sayım sonuçlarını ve varsa farkları gösteren "Ambar Devir ve Teslim Tutanağı" düzenleniyor mu?</v>
          </cell>
          <cell r="B362" t="str">
            <v xml:space="preserve">Taşınır Mal Yönetmeliği Md. 10/f </v>
          </cell>
          <cell r="C362" t="str">
            <v>md. 10/f - 33/1</v>
          </cell>
        </row>
        <row r="363">
          <cell r="A363" t="str">
            <v>Taşınır kayıtları ile ambarlardaki fiili durumun uyuşup uyuşmadığı, sayım sütunları doldurularak düzenli olarak kontrol edilmekte midir?</v>
          </cell>
          <cell r="B363" t="str">
            <v>Taşınır Mal Yönetmeliği Md</v>
          </cell>
          <cell r="C363" t="str">
            <v>md. 10/f</v>
          </cell>
        </row>
        <row r="364">
          <cell r="A364" t="str">
            <v>Giriş kaydı yapılan dayanıklı taşınırlara verilen sicil numaraları; yazma, kazıma veya etiketleme yoluyla taşınır üzerinde kalıcı hale getirilmiş mi?</v>
          </cell>
          <cell r="B364" t="str">
            <v xml:space="preserve">Taşınır Mal Yönetmeliği </v>
          </cell>
          <cell r="C364" t="str">
            <v>md. 36</v>
          </cell>
        </row>
        <row r="365">
          <cell r="A365" t="str">
            <v>Edinme şekline bakılmaksızın (satın alma, devir vb.) tüm taşınırların giriş kayıtları "Taşınır İşlem Fişi" (TİF) düzenlenerek gerçekleştirilmekte midir?</v>
          </cell>
          <cell r="B365" t="str">
            <v>Taşınır Mal Yönetmeliği Md.</v>
          </cell>
          <cell r="C365" t="str">
            <v>md. 12-13</v>
          </cell>
        </row>
        <row r="366">
          <cell r="A366" t="str">
            <v>Diğer kamu idarelerinden bedelsiz devir yoluyla gelen taşınırlar, Yönetmelik hükümleri uyarınca giriş kaydı yapılarak envantere dahil ediliyor mu?</v>
          </cell>
          <cell r="B366" t="str">
            <v xml:space="preserve">Taşınır Mal Yönetmeliği </v>
          </cell>
          <cell r="C366" t="str">
            <v>md. 13</v>
          </cell>
        </row>
        <row r="367">
          <cell r="A367" t="str">
            <v>Satın alınan taşınırlar için teslimatı müteakip; hesap kodları itibarıyla üçer nüsha TİF düzenlenerek muhasebe birimine bildirilmiş midir?</v>
          </cell>
          <cell r="B367" t="str">
            <v xml:space="preserve">Taşınır Mal Yönetmeliği </v>
          </cell>
          <cell r="C367" t="str">
            <v>md. 15</v>
          </cell>
        </row>
        <row r="368">
          <cell r="A368" t="str">
            <v>Düzenlenen Taşınır İşlem Fişlerinin tarihi; dayanağını oluşturan belgenin (fatura vb.) tarihinden önceki bir tarihi taşımamakta mıdır?</v>
          </cell>
          <cell r="B368" t="str">
            <v>Taşınır Mal Yönetmeliği Md</v>
          </cell>
          <cell r="C368" t="str">
            <v>md. 10/a</v>
          </cell>
        </row>
        <row r="369">
          <cell r="A369" t="str">
            <v>150-İlk Madde ve Malzemeler hesabındaki tüketim çıkışları, 3 aylık dönemler itibarıyla onaylı listelerle muhasebe birimine bildirilmekte midir?</v>
          </cell>
          <cell r="B369" t="str">
            <v>Taşınır Mal Yönetmeliği Md</v>
          </cell>
          <cell r="C369" t="str">
            <v>md. 30/2</v>
          </cell>
        </row>
        <row r="370">
          <cell r="A370" t="str">
            <v>Satın alma dışı yollarla edinilen veya maddi duran varlık hesabından çıkan taşınırların TİF nüshaları, 10 gün içinde muhasebeye gönderiliyor mu?</v>
          </cell>
          <cell r="B370" t="str">
            <v xml:space="preserve">Taşınır Mal Yönetmeliği </v>
          </cell>
          <cell r="C370" t="str">
            <v>md. 30</v>
          </cell>
        </row>
        <row r="371">
          <cell r="A371" t="str">
            <v>Ekonomik ömrünü tamamlamış veya kullanılamaz haldeki taşınırlar için uzman üyelerin de yer aldığı "Hurda Komisyonu" teşkil edilmiş midir?</v>
          </cell>
          <cell r="B371" t="str">
            <v xml:space="preserve">Taşınır Mal Yönetmeliği </v>
          </cell>
          <cell r="C371" t="str">
            <v>md. 28</v>
          </cell>
        </row>
        <row r="372">
          <cell r="A372" t="str">
            <v>Atıl durumdaki demirbaş ve cihazlar için "Kayıttan Düşme Teklif ve Onay Tutanağı" düzenlenerek kayıtların güncelliği sağlanmakta mıdır?</v>
          </cell>
          <cell r="B372" t="str">
            <v xml:space="preserve">Taşınır Mal Yönetmeliği </v>
          </cell>
          <cell r="C372" t="str">
            <v>md. 28</v>
          </cell>
        </row>
        <row r="373">
          <cell r="A373" t="str">
            <v>Bağış ve yardım yoluyla edinilen taşınırlar (bilardo masası vb.) teslim alındığında TİF düzenlenerek kayıtlara alınmakta mıdır?</v>
          </cell>
          <cell r="B373" t="str">
            <v xml:space="preserve">Taşınır Mal Yönetmeliği </v>
          </cell>
          <cell r="C373" t="str">
            <v>md. 16</v>
          </cell>
        </row>
        <row r="374">
          <cell r="A374" t="str">
            <v>Kullanıma verilen dayanıklı taşınırlar için "Zimmet Fişi" (Örnek: 6/A) düzenlenmekte ve stok düşüm işlemleri eş zamanlı yapılmakta mıdır?</v>
          </cell>
          <cell r="B374" t="str">
            <v>Taşınır Mal Yönetmeliği Md</v>
          </cell>
          <cell r="C374" t="str">
            <v>md. 23/1</v>
          </cell>
        </row>
        <row r="375">
          <cell r="A375" t="str">
            <v>Taşınır kayıt yetkililerinin görevden ayrılmalarında ve yıl sonlarında zorunlu olan "Taşınır Sayım İşlemleri" düzenli olarak tesis ediliyor mu?</v>
          </cell>
          <cell r="B375" t="str">
            <v xml:space="preserve">Taşınır Mal Yönetmeliği </v>
          </cell>
          <cell r="C375" t="str">
            <v>md. 32</v>
          </cell>
        </row>
        <row r="376">
          <cell r="A376" t="str">
            <v>Yiyecek yardımı ödenekleri; yemek yiyen sayısı yerine, Yönetmelik gereği kurumdaki toplam "memur kadro adedi" dikkate alınarak mı aktarılıyor?</v>
          </cell>
          <cell r="B376" t="str">
            <v>Yiyecek Yardımı Yönetmeliği M</v>
          </cell>
          <cell r="C376" t="str">
            <v>md. 4-5</v>
          </cell>
        </row>
        <row r="377">
          <cell r="A377" t="str">
            <v>4734 S.K. 3/e maddesi (istisna) kapsamında yapılan alımlarda, malın satıcı kurum tarafından "bizzat üretildiğine" dair belge dosyada mevcut mu?</v>
          </cell>
          <cell r="B377" t="str">
            <v>4734 Sayılı Kanun M</v>
          </cell>
          <cell r="C377" t="str">
            <v>md. 3/e</v>
          </cell>
        </row>
        <row r="378">
          <cell r="A378" t="str">
            <v>Akaryakıt teslimatlarında; kantar tartı fişleri (boş-dolu) dosyalanmakta ve düşük olan tartı miktarı üzerinden "Yakıt Teslim Alma Tutanağı" düzenleniyor mu?</v>
          </cell>
          <cell r="B378" t="str">
            <v>KYK Akaryakıt ve Yakıt Teslim Alma Ta</v>
          </cell>
          <cell r="C378" t="str">
            <v>talimatı</v>
          </cell>
        </row>
        <row r="379">
          <cell r="A379" t="str">
            <v>Taşıt kiralamalarında aylık bedel (KDV hariç); aracın kasko değerinin %2'sini (şoförlü ise asgari ücret ilaveli sınırı) aşmayacak şekilde mi belirlenmiştir?</v>
          </cell>
          <cell r="B379" t="str">
            <v>Hizmet Alımı Suretiyle Taşıt Edinilmesine İlişkin Esas ve U</v>
          </cell>
          <cell r="C379" t="str">
            <v>usuller</v>
          </cell>
        </row>
        <row r="380">
          <cell r="A380" t="str">
            <v>İlave binek veya station-wagon araç kiralamalarında; ihale öncesinde Hazine ve Maliye Bakanlığından gerekli "Uygun Görüş" yazısı alınmış mıdır?</v>
          </cell>
          <cell r="B380" t="str">
            <v>2006/10193 Sayılı BKK M</v>
          </cell>
          <cell r="C380" t="str">
            <v>md. 7/b</v>
          </cell>
        </row>
        <row r="381">
          <cell r="A381" t="str">
            <v>Personel servis hizmeti ihdası için Ulaştırma ve Altyapı Bakanlığından alınan izinler, 2 yılda bir olacak şekilde güncellenmekte midir?</v>
          </cell>
          <cell r="B381" t="str">
            <v>Kamu Kurumları Personel Servis Yön.</v>
          </cell>
          <cell r="C381" t="str">
            <v>md. 5-6</v>
          </cell>
        </row>
        <row r="382">
          <cell r="A382" t="str">
            <v>Öz mal veya kiralık araçlarda akaryakıt denetimi için "Taşıt Tanıma Sistemi" (TTS) kullanılmakta mıdır? Veresiye fişi uygulamasına son verilmiş mi?</v>
          </cell>
          <cell r="B382" t="str">
            <v>Taşıt Kanunu / İç Kontrol Standa</v>
          </cell>
          <cell r="C382" t="str">
            <v>standartları</v>
          </cell>
        </row>
        <row r="383">
          <cell r="A383" t="str">
            <v>Balon sistemli kapalı yüzme havuzlarında, Yönetmelik gereği yeterli havalandırma sağlanarak bulaşıcı hastalık riski minimize ediliyor mu?</v>
          </cell>
          <cell r="B383" t="str">
            <v>Yüzme Havuzları Sağlık Esasları Yön.</v>
          </cell>
          <cell r="C383" t="str">
            <v>md. 8/g</v>
          </cell>
        </row>
        <row r="384">
          <cell r="A384" t="str">
            <v>22/b maddesi kapsamında yapılan kitap alımlarında; yayınevinin özel bir hakka sahip olduğunu kanıtlayan "Telif Hakkı Satış Belgesi" dosyada mevcut mu?</v>
          </cell>
          <cell r="B384" t="str">
            <v>4734 Sayılı Kanun Md</v>
          </cell>
          <cell r="C384" t="str">
            <v>md. 22/b</v>
          </cell>
        </row>
        <row r="385">
          <cell r="A385" t="str">
            <v>Personel veya üyelere dağıtılmak üzere alınan çeşitli malzemelerin (kitap, giysi vb.) ilgililerine teslim edildiğine dair "Teslim Tutanakları" düzenlenmiş midir?</v>
          </cell>
          <cell r="B385" t="str">
            <v>Taşra Teşkilatı Bütçe Muhaseb</v>
          </cell>
          <cell r="C385" t="str">
            <v>yön.</v>
          </cell>
        </row>
        <row r="386">
          <cell r="A386" t="str">
            <v>Doğalgaz veya LPG tesisatlı kazan dairelerinde, sızıntıları algılayacak "Gaz Algılama Cihazları" ve alarm sistemleri faal durumda mıdır?</v>
          </cell>
          <cell r="B386" t="str">
            <v>Binaların Yangından Korunması Hakkında Yön.</v>
          </cell>
          <cell r="C386" t="str">
            <v>md. 55</v>
          </cell>
        </row>
        <row r="387">
          <cell r="A387" t="str">
            <v>Tahsis Ücret Cetvellerinde; mevsimsel fiyatlandırmaya esas olan "yaz" ve "kış" dönemi başlangıç-bitiş ayları açıkça belirtilmiş midir?</v>
          </cell>
          <cell r="C387" t="str">
            <v>yönetmeliği</v>
          </cell>
        </row>
        <row r="388">
          <cell r="A388" t="str">
            <v>Tesis tahsis saatleri ve kullanım süreleri, her bir tesis için ayrı tutulan "Tesis İşletme Defteri"ne düzenli olarak kaydedilmekte midir?</v>
          </cell>
          <cell r="C388" t="str">
            <v>yönetmeliği</v>
          </cell>
        </row>
        <row r="389">
          <cell r="A389" t="str">
            <v>Tahsis bedeli ve teminatı yatırılmadan veya sözleşme imzalanmadan tesis kullanımına izin verilmesi uygulamasına rastlanmış mıdır?</v>
          </cell>
          <cell r="C389" t="str">
            <v>md. 10</v>
          </cell>
        </row>
        <row r="390">
          <cell r="A390" t="str">
            <v>Tahsis bedelleri hesaplanırken; %5 pay, %18 KDV ve binde 9,48 sözleşme damga vergisi tam ve doğru şekilde tahakkuk ettiriliyor mu?</v>
          </cell>
          <cell r="B390" t="str">
            <v>İşletme Yönetmeliği Md. 12</v>
          </cell>
          <cell r="C390" t="str">
            <v>dvk</v>
          </cell>
        </row>
        <row r="391">
          <cell r="A391" t="str">
            <v>Ücretli tahsislerde, olası hasarları karşılamak üzere toplam bedelin %6'sı oranında teminat alınarak emanet hesabına kaydedilmiş mi?</v>
          </cell>
          <cell r="C391" t="str">
            <v>md. 11-12</v>
          </cell>
        </row>
        <row r="392">
          <cell r="A392" t="str">
            <v>Faaliyetlerin bitiminde "Hasar Tespit Tutanağı" düzenlenerek; varsa oluşan zararın alınan teminattan mahsubu yoluna gidiliyor mu?</v>
          </cell>
          <cell r="C392" t="str">
            <v>md. 12</v>
          </cell>
        </row>
        <row r="393">
          <cell r="A393" t="str">
            <v>Her bir tesis için; sicil kartı, iskan, tapu, proje ve tesisat şemalarını içeren kapsamlı bir "Tesis Dosyası" oluşturulmuş mudur?</v>
          </cell>
          <cell r="C393" t="str">
            <v>md. 8</v>
          </cell>
        </row>
        <row r="394">
          <cell r="A394" t="str">
            <v>Lojman tahsisleri; Kamu Konutları Yönetmeliği ekindeki (4) sayılı puanlama cetveli esas alınarak komisyon marifetiyle mi yapılmaktadır?</v>
          </cell>
          <cell r="B394" t="str">
            <v>Kamu Konutları Yönetmeliği</v>
          </cell>
          <cell r="C394" t="str">
            <v>md. 9</v>
          </cell>
        </row>
        <row r="395">
          <cell r="A395" t="str">
            <v>Herhangi bir nedenle boşalan lojmanların, en geç 30 gün içinde yeni hak sahiplerine tahsisi için gerekli duyuru ve işlemler tesis ediliyor mu?</v>
          </cell>
          <cell r="B395" t="str">
            <v>Kamu Konutları Yönetmeliği</v>
          </cell>
          <cell r="C395" t="str">
            <v>md. 9</v>
          </cell>
        </row>
        <row r="396">
          <cell r="A396" t="str">
            <v>Konut tahsis talebinde bulunan personelin beyannameleri (Ek-5), güncel mal bildirimleri ile karşılaştırılarak doğrulanmakta mıdır?</v>
          </cell>
          <cell r="B396" t="str">
            <v xml:space="preserve">Kamu Konutları Yönetmeliği </v>
          </cell>
          <cell r="C396" t="str">
            <v>md. 14</v>
          </cell>
        </row>
        <row r="397">
          <cell r="A397" t="str">
            <v>Her yıl Ocak ayı içinde; geçerli beyannamelere göre puanların hesaplandığı ve ilan edildiği bir "Lojman Sıra Cetveli" düzenleniyor mu?</v>
          </cell>
          <cell r="B397" t="str">
            <v xml:space="preserve">Kamu Konutları Yönetmeliği </v>
          </cell>
          <cell r="C397" t="str">
            <v>md. 14</v>
          </cell>
        </row>
        <row r="398">
          <cell r="A398" t="str">
            <v>Konut teslimlerinde; demirbaş listesini de içeren "Kamu Konutları Giriş Tutanağı" (Ek-6) düzenlenerek bir nüshası tahsis dosyasında muhafaza ediliyor mu?</v>
          </cell>
          <cell r="B398" t="str">
            <v xml:space="preserve">Kamu Konutları Yönetmeliği </v>
          </cell>
          <cell r="C398" t="str">
            <v>md. 17</v>
          </cell>
        </row>
        <row r="399">
          <cell r="A399" t="str">
            <v>Lojman tahsis işlemlerini yürütmek üzere, yetkili makam onayı ile belirlenmiş üç asil ve iki yedek üyeden oluşan "Konut Tahsis Komisyonu" kurulmuş mudur?</v>
          </cell>
          <cell r="B399" t="str">
            <v xml:space="preserve">Kamu Konutları Yönetmeliği </v>
          </cell>
          <cell r="C399" t="str">
            <v>md. 18</v>
          </cell>
        </row>
        <row r="400">
          <cell r="A400" t="str">
            <v>Komisyon kararları; üye tam sayısı ile toplanılarak mı alınmakta ve bu kararlar usulüne uygun tutulan bir "Karar Defteri"ne işlenmekte midir?</v>
          </cell>
          <cell r="B400" t="str">
            <v xml:space="preserve">Kamu Konutları Yönetmeliği </v>
          </cell>
          <cell r="C400" t="str">
            <v>md. 19</v>
          </cell>
        </row>
        <row r="401">
          <cell r="A401" t="str">
            <v>Görev tahsisli konutta oturanların görevi sona erdiğinde, konutun 2 ay içinde tahliyesi ve aksi durumda "İşgaliye Bedeli" takibi yapılıyor mu?</v>
          </cell>
          <cell r="B401" t="str">
            <v>2946 S.K. Md. 7 / Kamu Konutları Yön.</v>
          </cell>
          <cell r="C401" t="str">
            <v>md. 34</v>
          </cell>
        </row>
        <row r="402">
          <cell r="A402" t="str">
            <v>Deprem dayanıklılık analizi neticesinde güçlendirilmesi veya boşaltılması kararı alınan lojman binaları için gerekli işlemler başlatılmış mıdır?</v>
          </cell>
          <cell r="B402" t="str">
            <v xml:space="preserve">Afet Riski Altındaki Alanların Dön. </v>
          </cell>
          <cell r="C402" t="str">
            <v>kanunu</v>
          </cell>
        </row>
        <row r="403">
          <cell r="A403" t="str">
            <v>Deprem yönetmeliğine aykırı olduğu ve yıkılması gerektiği Genel Müdürlükçe bildirilen tesislerin kullanımı derhal durdurulmuş mudur?</v>
          </cell>
          <cell r="B403" t="str">
            <v>Yatırım ve İşletmeler Gn.</v>
          </cell>
          <cell r="C403" t="str">
            <v>md. talimatları</v>
          </cell>
        </row>
        <row r="404">
          <cell r="A404" t="str">
            <v>Teknik raporla riskli olduğu belirtilen stadyum ve tesislerde, resmi "Riskli Yapı Tespiti" yaptırılmadan yatırım harcaması yapılması engellenmiş midir?</v>
          </cell>
          <cell r="B404" t="str">
            <v>6306 Sayılı Kanun (Kentsel Dönüşüm)</v>
          </cell>
          <cell r="C404" t="str">
            <v>dönüşüm)</v>
          </cell>
        </row>
        <row r="405">
          <cell r="A405" t="str">
            <v>Hizmet araçları; 237 sayılı Taşıt Kanunu ve Tasarruf Genelgelerine aykırı olarak şahıs veya şube müdürlüğü adına tahsis edilmekte midir?</v>
          </cell>
          <cell r="B405" t="str">
            <v>237 Sayılı Taşıt Kanunu / 2021/14 Sayıl</v>
          </cell>
          <cell r="C405" t="str">
            <v>gen.</v>
          </cell>
        </row>
        <row r="406">
          <cell r="A406" t="str">
            <v>Taşıt görev emirleri; gidilecek yer, personel ve km bilgileri eksiksiz doldurularak, yetkili makam onayıyla ve koçan disiplinine uygun düzenleniyor mu?</v>
          </cell>
          <cell r="C406" t="str">
            <v>kanunu</v>
          </cell>
        </row>
        <row r="407">
          <cell r="A407" t="str">
            <v>Kiralanan yurt binaları için yıllık kira artışları, sözleşme hükümleri ve güncel yasal tavan oranları gözetilerek doğru hesaplanmakta mıdır?</v>
          </cell>
          <cell r="B407" t="str">
            <v>Borçlar Kanunu / Kiralama Me</v>
          </cell>
          <cell r="C407" t="str">
            <v>mevzuatı</v>
          </cell>
        </row>
        <row r="408">
          <cell r="A408" t="str">
            <v>Taşınmaz gelirlerinde; yıllık bedel artışları güncel mevzuat uyarınca (TÜFE - 12 aylık ortalama) hesaplanarak eksik tahsilatın önüne geçilmiş midir?</v>
          </cell>
          <cell r="B408" t="str">
            <v>Hazine Taşınmazlarının İdaresi Hakkın</v>
          </cell>
          <cell r="C408" t="str">
            <v>yön</v>
          </cell>
        </row>
        <row r="409">
          <cell r="A409" t="str">
            <v>Sezonluk kiralanan stadyum ve sahaların kira bedelleri düzenli tahsil edilmekte ve borcunu ödemeyen kulüpler hakkında hukuki süreç işletilmekte midir?</v>
          </cell>
          <cell r="B409" t="str">
            <v>Yatırım ve İşletmeler Gn. Md. 22.</v>
          </cell>
          <cell r="C409" t="str">
            <v>md. 22.06.2022 tarihli yazı</v>
          </cell>
        </row>
        <row r="410">
          <cell r="A410" t="str">
            <v>Müstecirler tarafından geç yapılan taksit ödemeleri için sözleşme hükümleri uyarınca gecikme faizi hesaplanıp tahsilatı yapılıyor mu?</v>
          </cell>
          <cell r="B410" t="str">
            <v>Taşınmazların İdaresi Hakkında Yön.</v>
          </cell>
          <cell r="C410" t="str">
            <v>md. 12/3</v>
          </cell>
        </row>
        <row r="411">
          <cell r="A411" t="str">
            <v>Tahmin edilen kira bedeli belirlenirken; dayanakların (oda, borsa, bilirkişi verileri vb.) yer aldığı bir "Hesap Tutanağı" dosyaya eklenmiş midir?</v>
          </cell>
          <cell r="B411" t="str">
            <v>2886 Sayılı Devlet İhale Kanunu</v>
          </cell>
          <cell r="C411" t="str">
            <v>md. 9</v>
          </cell>
        </row>
        <row r="412">
          <cell r="A412" t="str">
            <v>Kira bedeli artışlarında; artan tutar üzerinden "kalan kira süresi" dikkate alınarak nispi damga vergisi (binde 1,89) doğru hesaplanmakta mıdır?</v>
          </cell>
          <cell r="B412" t="str">
            <v>488 Sayılı DVK / GİB 08.</v>
          </cell>
          <cell r="C412" t="str">
            <v>özelge</v>
          </cell>
        </row>
        <row r="413">
          <cell r="A413" t="str">
            <v>Yenilenen kira sözleşmelerinde veya bedel artışlarında, stopaj dahil brüt tutarlar üzerinden vergi hesaplanarak eksik ödemenin önüne geçilmiş mi?</v>
          </cell>
          <cell r="B413" t="str">
            <v xml:space="preserve">488 Sayılı Damga Vergisi </v>
          </cell>
          <cell r="C413" t="str">
            <v>kanunu</v>
          </cell>
        </row>
        <row r="414">
          <cell r="A414" t="str">
            <v>İhale işlem dosyalarında; tip şartnameler esas alınarak hazırlanan "İdari Şartname" ve teknik şartnameler eksiksiz olarak bulunmakta mıdır?</v>
          </cell>
          <cell r="B414" t="str">
            <v>Mal Alımı İhaleleri Uyg. Yön.</v>
          </cell>
          <cell r="C414" t="str">
            <v>md. 12</v>
          </cell>
        </row>
        <row r="415">
          <cell r="A415" t="str">
            <v>İhale üzerinde bırakılan istekli, yasal süreler içerisinde kesin teminatını sunmak ve sözleşmeyi imzalamak üzere usulüne uygun davet ediliyor mu?</v>
          </cell>
          <cell r="B415" t="str">
            <v xml:space="preserve">4734 Sayılı Kanun </v>
          </cell>
          <cell r="C415" t="str">
            <v>md. 42</v>
          </cell>
        </row>
        <row r="416">
          <cell r="A416" t="str">
            <v>İş artışı yapılan ihalelerde; artış tutarı üzerinden %6 ek kesin teminat ve binde 9,48 oranında ek damga vergisi tahsil edilmekte midir?</v>
          </cell>
          <cell r="B416" t="str">
            <v>4735 S.K. Md. 10 / 488 S.K.</v>
          </cell>
          <cell r="C416" t="str">
            <v>md. 14</v>
          </cell>
        </row>
        <row r="417">
          <cell r="A417" t="str">
            <v>Yapım işlerinde; işe başlama tarihinden kesin kabule kadar tüm riskleri (deprem, yangın vb.) kapsayan "All-Risk" sigortası yaptırılıyor mu?</v>
          </cell>
          <cell r="B417" t="str">
            <v>Yapım İşleri Genel Şartnamesi</v>
          </cell>
          <cell r="C417" t="str">
            <v>md. 9</v>
          </cell>
        </row>
        <row r="418">
          <cell r="A418" t="str">
            <v>Süre uzatımı veya iş artışı durumlarında, sigorta poliçesi zeyilname ile güncellenerek kapsam ve süre uyumu sağlanmakta mıdır?</v>
          </cell>
          <cell r="B418" t="str">
            <v>Yapım İşleri Genel Şartnamesi M</v>
          </cell>
          <cell r="C418" t="str">
            <v>md. 9/2</v>
          </cell>
        </row>
        <row r="419">
          <cell r="A419" t="str">
            <v>Periyodik ödemeli hizmet işlerinde; hakediş raporu ve kabul teklif belgesi düzenlenmeksizin sadece fatura ile ödeme yapılması engellenmiş mi?</v>
          </cell>
          <cell r="B419" t="str">
            <v xml:space="preserve">Hizmet İşleri Genel Şartnamesi </v>
          </cell>
          <cell r="C419" t="str">
            <v>md. 26</v>
          </cell>
        </row>
        <row r="420">
          <cell r="A420" t="str">
            <v>Geçici ve kesin teminat mektupları, ihale sonrası gecikmeksizin muhasebe/saymanlık birimine teslim edilerek emanet hesaplarına alınıyor mu?</v>
          </cell>
          <cell r="B420" t="str">
            <v>4734 Sayılı Kanun Md. 34</v>
          </cell>
          <cell r="C420" t="str">
            <v>md. 34 ve 44</v>
          </cell>
        </row>
        <row r="421">
          <cell r="A421" t="str">
            <v>Doğrudan temin yoluyla yapılan alımlar, takip eden ayın onuna kadar EKAP üzerinden "Doğrudan Temin Kayıt Formu" ile kayıt altına alınmakta mıdır?</v>
          </cell>
          <cell r="B421" t="str">
            <v>Kamu İhale Genel Tebliği Md. 30.</v>
          </cell>
          <cell r="C421" t="str">
            <v>md. 30.9.2</v>
          </cell>
        </row>
        <row r="422">
          <cell r="A422" t="str">
            <v>22/d maddesi kapsamındaki alımlarda; alım yapılacak kişinin Kamu İhale Kurumu yasaklılar listesinde olup olmadığına dair teyit belgesi dosyada mevcut mu?</v>
          </cell>
          <cell r="B422" t="str">
            <v>Kamu İhale Genel Tebliği Md. 30.</v>
          </cell>
          <cell r="C422" t="str">
            <v>md. 30.5.4</v>
          </cell>
        </row>
        <row r="423">
          <cell r="A423" t="str">
            <v>İhale ilanlarında yer alan bilgilerin; İhale Onay Belgesi ve ihale dokümanındaki düzenlemelerle tam uyumu sağlanmakta mıdır?</v>
          </cell>
          <cell r="B423" t="str">
            <v>4734 S.K. Md. 24 / Yapım İşl. Uyg. Yön.</v>
          </cell>
          <cell r="C423" t="str">
            <v>md. 22</v>
          </cell>
        </row>
        <row r="424">
          <cell r="A424" t="str">
            <v>İhale komisyonu; ilan veya davet tarihini izleyen en geç üç gün içinde oluşturulup, işlem dosyasının bir örneği aynı sürede üyelere teslim ediliyor mu?</v>
          </cell>
          <cell r="B424" t="str">
            <v>Yapım İşleri İhaleleri Uyg. Yön.</v>
          </cell>
          <cell r="C424" t="str">
            <v>md. 20-21</v>
          </cell>
        </row>
        <row r="425">
          <cell r="A425" t="str">
            <v>Sözleşme imzalanmasını müteakip en geç 3 gün içinde "Yer Teslimi" yapılarak işe başlama süreci mevzuata uygun şekilde başlatılmakta mıdır?</v>
          </cell>
          <cell r="B425" t="str">
            <v>Sözleşme Genel Şartları Md.</v>
          </cell>
          <cell r="C425" t="str">
            <v>md. 9.1</v>
          </cell>
        </row>
        <row r="426">
          <cell r="A426" t="str">
            <v>Yapım işlerinde; işin fen ve sanat kurallarına uygunluğunu denetlemek üzere "Yapı Denetim Görevlisi" yazılı olarak görevlendirilmiş midir?</v>
          </cell>
          <cell r="B426" t="str">
            <v>Yapım İşleri Genel Şartnamesi Md.</v>
          </cell>
          <cell r="C426" t="str">
            <v>md. 14-15</v>
          </cell>
        </row>
        <row r="427">
          <cell r="A427" t="str">
            <v>İdare, yüklenici ve yapı denetim görevlisi arasındaki tüm iletişim, talimat ve tespitler yazılı olarak mı yürütülmektedir?</v>
          </cell>
          <cell r="B427" t="str">
            <v>Yapım İşleri Genel Şartnamesi</v>
          </cell>
          <cell r="C427" t="str">
            <v>md. 5</v>
          </cell>
        </row>
        <row r="428">
          <cell r="A428" t="str">
            <v>İş artışı veya süre uzatımı verilen işlerde; yüklenici tarafından 7 gün içinde "Revize İş Programı" sunulmuş ve idarece onaylanmış mıdır?</v>
          </cell>
          <cell r="B428" t="str">
            <v xml:space="preserve">Yapım İşleri Genel Şartnamesi </v>
          </cell>
          <cell r="C428" t="str">
            <v>md. 17</v>
          </cell>
        </row>
        <row r="429">
          <cell r="A429" t="str">
            <v>Alt yükleniciler işe başlamadan önce; yüklenici ile aralarındaki sözleşmenin bir örneği onaylanmak üzere idareye sunulmakta mıdır?</v>
          </cell>
          <cell r="B429" t="str">
            <v xml:space="preserve">Yapım İşleri Genel Şartnamesi </v>
          </cell>
          <cell r="C429" t="str">
            <v>md. 20</v>
          </cell>
        </row>
        <row r="430">
          <cell r="A430" t="str">
            <v>Kesin hakediş raporu düzenlenmeden önce; işin geçici kabulü yapılmış ve kesin hesap işlemleri mevzuata uygun şekilde tamamlanmış mı?</v>
          </cell>
          <cell r="B430" t="str">
            <v xml:space="preserve">Yapım İşleri Genel Şartnamesi </v>
          </cell>
          <cell r="C430" t="str">
            <v>md. 40</v>
          </cell>
        </row>
        <row r="431">
          <cell r="A431" t="str">
            <v>Kesin teminat mektupları; geçici ve kesin kabul arasındaki "Teminat Süresi" (24 ay vb.) tamamen dolmadan iade edilmekte midir?</v>
          </cell>
          <cell r="B431" t="str">
            <v>Sözleşme Md. 20 / Yapım İşl. G.Ş.</v>
          </cell>
          <cell r="C431" t="str">
            <v>md. 42</v>
          </cell>
        </row>
        <row r="432">
          <cell r="A432" t="str">
            <v>Öngörülemeyen durumlar nedeniyle yapılan iş artışlarının; sözleşme projesi içinde kalması ve asıl işten ayrılamaz olması şartları gözetiliyor mu?</v>
          </cell>
          <cell r="B432" t="str">
            <v>Yapım İşleri Genel Şartnamesi Md</v>
          </cell>
          <cell r="C432" t="str">
            <v>md. 21/1</v>
          </cell>
        </row>
        <row r="433">
          <cell r="A433" t="str">
            <v>Hakediş ödemeleri ekinde; imalatın yapıldığını ve aşamasını kanıtlayan, tarih bilgisi içeren fotoğraflar yer almakta mıdır?</v>
          </cell>
          <cell r="C433" t="str">
            <v>şartnamesi</v>
          </cell>
        </row>
        <row r="434">
          <cell r="A434" t="str">
            <v>İhale komisyonunda yer alan en az iki "uzman üye"; ihale konusu işin niteliğine uygun (mühendis, mimar vb.) personelden mi seçilmiştir?</v>
          </cell>
          <cell r="B434" t="str">
            <v>4734 Sayılı Kanun</v>
          </cell>
          <cell r="C434" t="str">
            <v>md. 6</v>
          </cell>
        </row>
        <row r="435">
          <cell r="A435" t="str">
            <v>İhale işlem dosyasının birer örneğinin, incelenmek üzere komisyon üyelerine teslim edildiğine dair "Dizi Pusulası" veya "Teslim Tutanağı" mevcut mu?</v>
          </cell>
          <cell r="B435" t="str">
            <v>4734 Sayılı Kanun</v>
          </cell>
          <cell r="C435" t="str">
            <v>md. 6</v>
          </cell>
        </row>
        <row r="436">
          <cell r="A436" t="str">
            <v>Özel pozlu kalemlerin yaklaşık maliyetleri; proforma fatura, rayiç sorgusu veya benzeri somut dayanaklarla belgelendirilmiş midir?</v>
          </cell>
          <cell r="B436" t="str">
            <v>Yapım İşleri İhaleleri Uyg. Yön.</v>
          </cell>
          <cell r="C436" t="str">
            <v>md. 10</v>
          </cell>
        </row>
        <row r="437">
          <cell r="A437" t="str">
            <v>Geçici kabulde saptanan eksiklikleri süresinde gidermeyen yüklenicilere, gecikilen her gün için sözleşmedeki ceza tutarının %10'u oranında ceza kesiliyor mu?</v>
          </cell>
          <cell r="B437" t="str">
            <v>Yapım İşleri Genel Şartnamesi Md</v>
          </cell>
          <cell r="C437" t="str">
            <v>md. 41/5</v>
          </cell>
        </row>
        <row r="438">
          <cell r="A438" t="str">
            <v>21/b (Pazarlık) usulü ile yapılan ihalelerde; "ivedilik" ve "öngörülemeyen olay" şartlarının oluştuğuna dair tevsik edici belgeler dosyada mevcut mu?</v>
          </cell>
          <cell r="B438" t="str">
            <v>4734 Sayılı Kanun Md</v>
          </cell>
          <cell r="C438" t="str">
            <v>md. 21/b</v>
          </cell>
        </row>
        <row r="439">
          <cell r="A439" t="str">
            <v>Tekliflerin açılması aşamasında düzenlenen "Zarf Açma ve Belge Kontrol Tutanağı", komisyon üyelerince eksiksiz şekilde imzalanmakta mıdır?</v>
          </cell>
          <cell r="B439" t="str">
            <v xml:space="preserve">4734 Sayılı Kanun </v>
          </cell>
          <cell r="C439" t="str">
            <v>md. 36</v>
          </cell>
        </row>
        <row r="440">
          <cell r="A440" t="str">
            <v>İade edilemeyen ve hükümsüz kalan kesin teminat mektupları, yasal süresi (2 yıl) sonunda bankasına iade edilerek dosyadan çıkarılmış mıdır?</v>
          </cell>
          <cell r="B440" t="str">
            <v xml:space="preserve">4735 Sayılı Kanun </v>
          </cell>
          <cell r="C440" t="str">
            <v>md. 14</v>
          </cell>
        </row>
        <row r="441">
          <cell r="A441" t="str">
            <v>Teknik şartnamede yüklenici tarafından sunulması zorunlu tutulan tüm belgeler (test raporu, sertifika vb.) ihale işlem dosyasına eklenmiş mi?</v>
          </cell>
          <cell r="B441" t="str">
            <v>4734 Sayılı Kanun / Teknik Şa</v>
          </cell>
          <cell r="C441" t="str">
            <v>şartname</v>
          </cell>
        </row>
        <row r="442">
          <cell r="A442" t="str">
            <v>İhale kararının tüm isteklilere bildiriminden sonra, mevzuatta öngörülen (5 veya 10 günlük) yasal bekleme sürelerine uyulmadan sözleşme mi imzalanmıştır?</v>
          </cell>
          <cell r="B442" t="str">
            <v>4734 Sayılı Kanun Md.</v>
          </cell>
          <cell r="C442" t="str">
            <v>md. 41-42</v>
          </cell>
        </row>
        <row r="443">
          <cell r="A443" t="str">
            <v>İhale komisyonu asil ve yedek üyelerinin görevlendirme yazıları, ihale yetkilisinin onayıyla birlikte işlem dosyasında muhafaza ediliyor mu?</v>
          </cell>
          <cell r="B443" t="str">
            <v>4734 Sayılı Kanun</v>
          </cell>
          <cell r="C443" t="str">
            <v>md. 6</v>
          </cell>
        </row>
        <row r="444">
          <cell r="A444" t="str">
            <v>Mal alımı muayene raporlarında; ihale dokümanındaki nitelikler ile fiili nitelikler karşılaştırılarak "uygundur/değildir" ibaresi kesin olarak belirtilmiş mi?</v>
          </cell>
          <cell r="B444" t="str">
            <v>Mal Alımları Denetim Muayene ve Kabul Yön.</v>
          </cell>
          <cell r="C444" t="str">
            <v>md. 20</v>
          </cell>
        </row>
        <row r="445">
          <cell r="A445" t="str">
            <v>Anahtar teslimi götürü bedel ihalelerde, ihale öncesi zorunlu olan "Arazi ve Zemin Etüdü" çalışmalarına dair raporlar dosya ve CD eklerinde mevcut mu?</v>
          </cell>
          <cell r="B445" t="str">
            <v>Yapım İşleri İhaleleri Uyg. Yön.</v>
          </cell>
          <cell r="C445" t="str">
            <v>md. 9</v>
          </cell>
        </row>
        <row r="446">
          <cell r="A446" t="str">
            <v>Teknik şartnamede öngörülen malzeme miktarları ile Muayene ve Kabul Komisyonu tutanaklarındaki miktarlar arasında tam uyum sağlanmakta mıdır?</v>
          </cell>
          <cell r="B446" t="str">
            <v>Mal Alımları Denetim Muayene ve Kabu</v>
          </cell>
          <cell r="C446" t="str">
            <v>yön.</v>
          </cell>
        </row>
        <row r="447">
          <cell r="A447" t="str">
            <v>İhale işlem dosyaları; onay belgesinden hakedişe kadar tüm süreci kapsayacak şekilde düzenli, kronolojik ve denetime hazır halde mi tutuluyor?</v>
          </cell>
          <cell r="B447" t="str">
            <v>4734 Sayılı Kanun</v>
          </cell>
          <cell r="C447" t="str">
            <v>md. 7</v>
          </cell>
        </row>
        <row r="448">
          <cell r="A448" t="str">
            <v>Sözleşme devri yapılan işlerde; devir sözleşmesinin noter huzurunda onaylandığına dair belge ihale işlem dosyasında yer almakta mıdır?</v>
          </cell>
          <cell r="B448" t="str">
            <v>4735 S.K.</v>
          </cell>
          <cell r="C448" t="str">
            <v>md. 16 / kamu ihale genel tebliğ</v>
          </cell>
        </row>
        <row r="449">
          <cell r="A449" t="str">
            <v>Birden fazla takvim yılına sarkan (yıllara sari) yapım işleri hakedişlerinden %3 oranında gelir/kurumlar vergisi tevkifatı kesintisi yapılıyor mu?</v>
          </cell>
          <cell r="B449" t="str">
            <v>193 S.K. Md. 42 / 5520 S.K.</v>
          </cell>
          <cell r="C449" t="str">
            <v>md. 15</v>
          </cell>
        </row>
        <row r="450">
          <cell r="A450" t="str">
            <v>Teknik şartnamelerde; ulusal/uluslararası standartlar esas alınmış mı? Belirli bir marka, model veya patente yönelik kısıtlayıcı tanımlamalardan kaçınılıyor mu?</v>
          </cell>
          <cell r="B450" t="str">
            <v xml:space="preserve">4734 Sayılı Kanun </v>
          </cell>
          <cell r="C450" t="str">
            <v>md. 12</v>
          </cell>
        </row>
        <row r="451">
          <cell r="A451" t="str">
            <v>İhale dokümanında değişiklik yapılması durumunda; zeyilname son teklif verme tarihinden en az "10 gün" önce tüm isteklilere ulaştırılmakta mıdır?</v>
          </cell>
          <cell r="B451" t="str">
            <v xml:space="preserve">4734 Sayılı Kanun </v>
          </cell>
          <cell r="C451" t="str">
            <v>md. 29</v>
          </cell>
        </row>
        <row r="452">
          <cell r="A452" t="str">
            <v>İş artışı/eksilişi işlemleri; "öngörülemeyen durum" ve "teknik ayrılmazlık" şartları belgelendirilerek, yasal limitler (%10-%20) dahilinde mi yürütülüyor?</v>
          </cell>
          <cell r="B452" t="str">
            <v>4735 S.K. Md. 24 / Yapım İşl. G.Ş.</v>
          </cell>
          <cell r="C452" t="str">
            <v>md. 21</v>
          </cell>
        </row>
        <row r="453">
          <cell r="A453" t="str">
            <v>Her hakediş ödemesi öncesinde; sigorta poliçesinin yürürlükte olduğuna ve primlerin ödendiğine dair belge yükleniciden alınarak dosyaya ekleniyor mu?</v>
          </cell>
          <cell r="B453" t="str">
            <v>Yapım İşleri Genel Şartnamesi M</v>
          </cell>
          <cell r="C453" t="str">
            <v>md. 9/5</v>
          </cell>
        </row>
        <row r="454">
          <cell r="A454" t="str">
            <v>Hakediş dosyalarında; metraj cetvelleri, hakediş icmali, yüklenici talep yazısı ile güncel vergi/SGK borç sorgulama belgeleri mevcut mu?</v>
          </cell>
          <cell r="C454" t="str">
            <v>şartnamesi</v>
          </cell>
        </row>
        <row r="455">
          <cell r="A455" t="str">
            <v>Büyük onarım ve yapım işlerinde; yüklenicinin kullandığı elektrik, su vb. giderlerin tahsiline ilişkin sözleşmede hüküm bulunmakta mıdır?</v>
          </cell>
          <cell r="B455" t="str">
            <v>İç Kontrol Standartları / Genel Şa</v>
          </cell>
          <cell r="C455" t="str">
            <v>şartname</v>
          </cell>
        </row>
        <row r="456">
          <cell r="A456" t="str">
            <v>Yaklaşık maliyet hesap cetveline dayanak teşkil eden fiyat araştırma yazıları ve proforma faturalar işlem dosyasında muhafaza ediliyor mu?</v>
          </cell>
          <cell r="B456" t="str">
            <v>4734 Sayılı Kanun Md. 9 / Uyg. Yön.</v>
          </cell>
          <cell r="C456" t="str">
            <v>md. 8</v>
          </cell>
        </row>
        <row r="457">
          <cell r="A457" t="str">
            <v>Pazarlık usulü (21/b) ile yapılan ihalelerde, fiyat araştırması yapılan firmalara gönderilen davet/soru yazıları kayıt altına alınmış mıdır?</v>
          </cell>
          <cell r="B457" t="str">
            <v>4734 Sayılı Kanun Md. 21 / Uyg. Yön.</v>
          </cell>
          <cell r="C457" t="str">
            <v>md. 8</v>
          </cell>
        </row>
        <row r="458">
          <cell r="A458" t="str">
            <v>Temel ihale usulleri (Açık İhale) yerine, pazarlık usulünün süreklilik arz edecek şekilde sayıca yoğun kullanılması engellenmiş midir?</v>
          </cell>
          <cell r="B458" t="str">
            <v>4734 Sayılı Kanun</v>
          </cell>
          <cell r="C458" t="str">
            <v>md. 5</v>
          </cell>
        </row>
        <row r="459">
          <cell r="A459" t="str">
            <v>22/d (Doğrudan Temin) alımlarında; Kamu İhale Kurumunca Büyükşehir/Diğer iller için belirlenen güncel parasal limitlere riayet ediliyor mu?</v>
          </cell>
          <cell r="B459" t="str">
            <v>4734 Sayılı Kanun Md</v>
          </cell>
          <cell r="C459" t="str">
            <v>md. 22/d</v>
          </cell>
        </row>
        <row r="460">
          <cell r="A460" t="str">
            <v>Tesis Bilgi Dosyası (Sicil kartı, tapu, proje vb.) ile demirbaş ve işletme defterleri her bir tesis için ayrı ayrı ve güncel olarak tutulmakta mıdır?</v>
          </cell>
          <cell r="B460" t="str">
            <v>Spor Gn. Md. İşletme Yön.</v>
          </cell>
          <cell r="C460" t="str">
            <v>md. 7-8</v>
          </cell>
        </row>
        <row r="461">
          <cell r="A461" t="str">
            <v>Yangın söndürme cihazlarının yıllık genel kontrolleri yapılıyor mu? 4. yıl sonunda hidrostatik testleri ve dolum işlemleri gerçekleştirilmiş mi?</v>
          </cell>
          <cell r="B461" t="str">
            <v>Binaların Yangından Korunması Yön.</v>
          </cell>
          <cell r="C461" t="str">
            <v>md. 99</v>
          </cell>
        </row>
        <row r="462">
          <cell r="A462" t="str">
            <v>Söndürme cihazları; yerden en fazla 90 cm yükseklikte, kolayca erişilebilir asma halkaları ile usulüne uygun şekilde monte edilmiş midir?</v>
          </cell>
          <cell r="B462" t="str">
            <v>Binaların Yangından Korunması Yön.</v>
          </cell>
          <cell r="C462" t="str">
            <v>md. 99/5</v>
          </cell>
        </row>
        <row r="463">
          <cell r="A463" t="str">
            <v>Acil çıkış levhaları; kaçış yönüne doğru, aydınlatmalı (min. 2 cd/m²) ve kapılar kaçış yönüne (dışarıya) açılacak şekilde düzenlenmiş mi?</v>
          </cell>
          <cell r="B463" t="str">
            <v>Binaların Yangından Korunması Yön.</v>
          </cell>
          <cell r="C463" t="str">
            <v>md. 73</v>
          </cell>
        </row>
        <row r="464">
          <cell r="A464" t="str">
            <v>Asansörlerin yıllık periyodik kontrolleri A tipi muayene kuruluşuna yaptırılmakta mıdır? Kırmızı etiketli (güvensiz) asansörlerin kullanımı derhal durdurulmuş mu?</v>
          </cell>
          <cell r="B464" t="str">
            <v>Asansör Periyodik Kontrol Yön.</v>
          </cell>
          <cell r="C464" t="str">
            <v>md. 9-11</v>
          </cell>
        </row>
        <row r="465">
          <cell r="A465" t="str">
            <v>Yangın kaçış kapıları; en az 80x200 cm ölçülerinde, eşiksiz ve standartlara uygun malzemeden mi tesis edilmiştir?</v>
          </cell>
          <cell r="B465" t="str">
            <v>Binaların Yangından Korunması Yön.</v>
          </cell>
          <cell r="C465" t="str">
            <v>md. 47</v>
          </cell>
        </row>
        <row r="466">
          <cell r="A466" t="str">
            <v>Tesis, yurt ve gençlik merkezi binalarında; yıldırımdan korunma amacıyla "Paratoner" sistemleri kurulu ve aktif olarak çalışmakta mıdır?</v>
          </cell>
          <cell r="B466" t="str">
            <v xml:space="preserve">Yangın Önleme ve Söndürme Yönergesi </v>
          </cell>
          <cell r="C466" t="str">
            <v>md. 32</v>
          </cell>
        </row>
        <row r="467">
          <cell r="A467" t="str">
            <v>Mevcut binalar için "Türkiye Bina Deprem Yönetmeliği" kapsamında deprem performans analizleri yapılarak yapısal güvenlik raporları tanzim edilmiş mi?</v>
          </cell>
          <cell r="B467" t="str">
            <v>Türkiye Bina Deprem Yönetmeliği (2019)</v>
          </cell>
          <cell r="C467" t="str">
            <v>yönetmeliği (2019)</v>
          </cell>
        </row>
        <row r="468">
          <cell r="A468" t="str">
            <v>Kazan dairesi, jeneratör odası, çatı ve asansör boşluğu gibi yangın açısından kritik alanlarda yanıcı madde depolanması engellenerek düzenli temizlik yapılıyor mu?</v>
          </cell>
          <cell r="B468" t="str">
            <v xml:space="preserve">Yangın Önleme ve Söndürme Yönergesi </v>
          </cell>
          <cell r="C468" t="str">
            <v>md. 32</v>
          </cell>
        </row>
        <row r="469">
          <cell r="A469" t="str">
            <v>Yangın çıkış kapılarının önü ve arkası; acil tahliyeyi engelleyecek her türlü malzeme ve eşyadan arındırılmış halde tutuluyor mu?</v>
          </cell>
          <cell r="B469" t="str">
            <v>Yangın Önleme ve Söndürme Tal.</v>
          </cell>
          <cell r="C469" t="str">
            <v>md. 31/1</v>
          </cell>
        </row>
        <row r="470">
          <cell r="A470" t="str">
            <v>Tesis bazlı "Acil Durum Planları" hazırlanmış mı? Personel; yangın söndürme, kurtarma ve ilk yardım konularında tatbiki eğitimden geçirilmiş mi?</v>
          </cell>
          <cell r="B470" t="str">
            <v>İşyerlerinde Acil Durumlar Yön.</v>
          </cell>
          <cell r="C470" t="str">
            <v>md. 5-6</v>
          </cell>
        </row>
        <row r="471">
          <cell r="A471" t="str">
            <v>Binalarda, yangınla mücadele için zorunlu olan "İtfaiye Su Alma Hattı" ve "Yangın Dolapları" faal ve erişilebilir durumda mıdır?</v>
          </cell>
          <cell r="B471" t="str">
            <v>Yangın Önleme ve Söndürme Tal.</v>
          </cell>
          <cell r="C471" t="str">
            <v>md. 42/1</v>
          </cell>
        </row>
        <row r="472">
          <cell r="A472" t="str">
            <v>Kiralık binalarda; yangın söndürme sistemlerinin periyodik test ve bakımlarının mal sahibi veya yetkilisince yapılması takip ediliyor mu?</v>
          </cell>
          <cell r="B472" t="str">
            <v>Binaların Yangından Korunması Yön.</v>
          </cell>
          <cell r="C472" t="str">
            <v>md. 100</v>
          </cell>
        </row>
        <row r="473">
          <cell r="A473" t="str">
            <v>Acil aydınlatma, yönlendirme ve yangın algılama sistemlerinin standartlara uygun periyodik kontrol ve test kayıtları dosyalanmakta mıdır?</v>
          </cell>
          <cell r="B473" t="str">
            <v>Yangın Önleme ve Söndürme Yön.</v>
          </cell>
          <cell r="C473" t="str">
            <v>md. 63</v>
          </cell>
        </row>
        <row r="474">
          <cell r="A474" t="str">
            <v>Asansörlerin güvenli çalışması için yetkili servis ile "Bakım Sözleşmesi" imzalanmış mıdır? Periyodik bakımı yapılmayan asansörler hizmet dışı bırakılıyor mu?</v>
          </cell>
          <cell r="B474" t="str">
            <v>Asansör İşletme ve Bakım Yön.</v>
          </cell>
          <cell r="C474" t="str">
            <v>md. 14</v>
          </cell>
        </row>
        <row r="475">
          <cell r="A475" t="str">
            <v>Kesin kabulde tespit edilen eksikliklerin giderilmesine dair "Tespit Raporu" yüklenici nam ve hesabına işlem yapılmadan önce süresinde düzenleniyor mu?</v>
          </cell>
          <cell r="B475" t="str">
            <v>Yapım İşleri Muayene Kabul Yön.</v>
          </cell>
          <cell r="C475" t="str">
            <v>md. 12</v>
          </cell>
        </row>
        <row r="476">
          <cell r="A476" t="str">
            <v>Yapı denetim görevlisi tarafından düzenlenen "Geçici Kabul Teklif Belgesi" ve yetkili makamın "Komisyon Görevlendirme Onayı" dosyada mevcut mu?</v>
          </cell>
          <cell r="B476" t="str">
            <v>Yapım İşleri Muayene Kabul Yön.</v>
          </cell>
          <cell r="C476" t="str">
            <v>md. 6</v>
          </cell>
        </row>
        <row r="477">
          <cell r="A477" t="str">
            <v>Tapuda kayıtlı taşınmazlar; maliyet bedeli veya rayiç değer üzerinden güncellenerek ilgili muhasebe hesaplarına doğru şekilde işlenmiş midir?</v>
          </cell>
          <cell r="B477" t="str">
            <v>Taşınmazların Kaydına İlişkin Yön.</v>
          </cell>
          <cell r="C477" t="str">
            <v>md. 5</v>
          </cell>
        </row>
        <row r="478">
          <cell r="A478" t="str">
            <v>Her bir taşınmaz için tekil bir "Taşınmaz Numarası" verilmiş mi ve her taşınmaz için bu numarayla uyumlu müstakil dosyalar tutulmakta mıdır?</v>
          </cell>
          <cell r="B478" t="str">
            <v>Taşınmazların Kaydına İlişkin Yön.</v>
          </cell>
          <cell r="C478" t="str">
            <v>md. 8-9</v>
          </cell>
        </row>
        <row r="479">
          <cell r="A479" t="str">
            <v>Tapu kaydı (arsa, kumluk vb.) ile fiili kullanımı (stadyum, yurt vb.) uyumsuz olan taşınmazlar için "Cins Tashih" işlemleri başlatılmış mıdır?</v>
          </cell>
          <cell r="B479" t="str">
            <v>Taşınmazların Kaydına İlişkin Yön.</v>
          </cell>
          <cell r="C479" t="str">
            <v>md. 10</v>
          </cell>
        </row>
        <row r="480">
          <cell r="A480" t="str">
            <v>250 Arazi ve Arsalar ile 252 Binalar hesapları; taşınmazların güncel nitelik ve değerlerine uygun olarak fiili durumu yansıtmaktamıdır?</v>
          </cell>
          <cell r="C480" t="str">
            <v>yönetmeliği</v>
          </cell>
        </row>
        <row r="481">
          <cell r="A481" t="str">
            <v>Muhasebe hesaplarında kayıtlı taşınmazlar ile "Taşınmaz İcmal Tabloları" arasında tam uyum sağlanmış mıdır?</v>
          </cell>
          <cell r="B481" t="str">
            <v>Taşınmazların Kaydına İlişkin Yön.</v>
          </cell>
          <cell r="C481" t="str">
            <v>md. 5</v>
          </cell>
        </row>
        <row r="482">
          <cell r="A482" t="str">
            <v>Şartlı tahsis edilen taşınmazlardan; tahsis süresi dolan veya amacı kalmayanların iade işlemleri 3091 sayılı Kanun çerçevesinde başlatılmış mı?</v>
          </cell>
          <cell r="B482" t="str">
            <v>Taşınmazların İdaresi Hakkında Yön.</v>
          </cell>
          <cell r="C482" t="str">
            <v>md. 71</v>
          </cell>
        </row>
        <row r="483">
          <cell r="A483" t="str">
            <v>Süresi dolan protokoller için 30 gün içinde yenileme yapılmış mıdır? Yenilenmeyen protokoller kapsamındaki taşınmazlar boş olarak teslim alınmış mı?</v>
          </cell>
          <cell r="C483" t="str">
            <v>yön.</v>
          </cell>
        </row>
        <row r="484">
          <cell r="A484" t="str">
            <v>Protokol gereği İl Müdürlüğüne bırakılan kullanım alanları (TOHM odaları, bürolar vb.) fiilen teslim alınarak amacına uygun kullanılmakta mıdır?</v>
          </cell>
          <cell r="B484" t="str">
            <v>İlgili Protokol Hükümleri / Özel Ş</v>
          </cell>
          <cell r="C484" t="str">
            <v>şartlar</v>
          </cell>
        </row>
        <row r="485">
          <cell r="A485" t="str">
            <v>Tahsis edilen tesislerin elektrik ve su abonelikleri yüklenici/federasyon üzerine devredilmiş mi? Faturaların doğrudan idarece ödenmesi engelleniyor mu?</v>
          </cell>
          <cell r="B485" t="str">
            <v>Gençlik ve Spor Bakanlığı Yangın ve İşletme Yön</v>
          </cell>
          <cell r="C485" t="str">
            <v>yönergesi</v>
          </cell>
        </row>
        <row r="486">
          <cell r="A486" t="str">
            <v>Teknik personelin arazi tazminatı ödemelerinde; "açık çalışma mahalli" tanımına uyulmakta mıdır ve faal binaların tadilat/bakım işleri bu kapsam dışında tutuluyor mu?</v>
          </cell>
          <cell r="B486" t="str">
            <v>657 S.K.</v>
          </cell>
          <cell r="C486" t="str">
            <v>md. 152 / 160 seri no'lu tebliğ</v>
          </cell>
        </row>
        <row r="487">
          <cell r="A487" t="str">
            <v>İl Müdürlüğü tasarrufundaki taşınmazlarda; izinsiz ticari faaliyet yürüten veya otopark olarak kullanan üçüncü kişilere karşı tahliye ve ecrimisil süreci işletiliyor mu?</v>
          </cell>
          <cell r="B487" t="str">
            <v>3091 Sayılı Kanun / Taşınmazların İdares</v>
          </cell>
          <cell r="C487" t="str">
            <v>yön.</v>
          </cell>
        </row>
        <row r="488">
          <cell r="A488" t="str">
            <v>Tahsis edilen alanlarda; protokol dışı inşa edilen ticari yapıların (restoran, düğün bahçesi vb.) tespiti yapılmış mıdır? Bu tesislerden idare payı tahsil edilmekte mi?</v>
          </cell>
          <cell r="B488" t="str">
            <v>Taşınmazların İdaresi Hakkında Yön.</v>
          </cell>
          <cell r="C488" t="str">
            <v>hük.</v>
          </cell>
        </row>
        <row r="489">
          <cell r="A489" t="str">
            <v>Isı merkezlerinde bulunan basınçlı kapların (kazan vb.) periyodik test ve kontrolleri ilgili mühendisler veya yetkili kuruluşlarca (MMO vb.) yapılıyor mu?</v>
          </cell>
          <cell r="B489" t="str">
            <v>Bakım Onarım Talimatı Md</v>
          </cell>
          <cell r="C489" t="str">
            <v>md. 7/13</v>
          </cell>
        </row>
        <row r="490">
          <cell r="A490" t="str">
            <v>Yurt müdürlüklerinde bulunan basınçlı kapların teknik muayene sonuçları ve bakım kayıtları düzenli olarak tutulmakta mıdır?</v>
          </cell>
          <cell r="B490" t="str">
            <v>Bakım Onarım Talimatı Md</v>
          </cell>
          <cell r="C490" t="str">
            <v>md. 7/13</v>
          </cell>
        </row>
        <row r="491">
          <cell r="A491" t="str">
            <v>Protokolü feshedilen tesislerin; tüm fatura borçları ödenmiş ve tesisatı faal halde teslim alınması kuralına riayet ediliyor mu?</v>
          </cell>
          <cell r="B491" t="str">
            <v xml:space="preserve">Özel Protokol Hükümleri / Borçlar </v>
          </cell>
          <cell r="C491" t="str">
            <v>kanunu</v>
          </cell>
        </row>
        <row r="492">
          <cell r="A492" t="str">
            <v>Reklam pano alanları kiralama sözleşmeleri; tarih, yüklenici imzası ve ita amiri onayı yönünden eksiksiz şekilde tekemmül ettirilmiş mi?</v>
          </cell>
          <cell r="B492" t="str">
            <v xml:space="preserve">2886 Sayılı Kanun </v>
          </cell>
          <cell r="C492" t="str">
            <v>md. 53</v>
          </cell>
        </row>
        <row r="493">
          <cell r="A493" t="str">
            <v>2886 S.K. kapsamındaki pazarlık ihalelerinde; tercih gerekçeleri ve teklif aşamaları pazarlık kararında ayrıntılı şekilde gösteriliyor mu?</v>
          </cell>
          <cell r="B493" t="str">
            <v xml:space="preserve">2886 Sayılı Kanun </v>
          </cell>
          <cell r="C493" t="str">
            <v>md. 50</v>
          </cell>
        </row>
        <row r="494">
          <cell r="A494" t="str">
            <v>Protokol süresi dolan tesislerin (stadyum vb.) geri devrinde; bakım-onarım, demirbaş teslimi ve fatura ödeme şartları titizlikle kontrol ediliyor mu?</v>
          </cell>
          <cell r="B494" t="str">
            <v>Özel Protokol Hükümleri / 3289 S.</v>
          </cell>
          <cell r="C494" t="str">
            <v>k.</v>
          </cell>
        </row>
        <row r="495">
          <cell r="A495" t="str">
            <v>Teslim alınamayan veya atıl bırakılan tesislerin devir süreçlerinde; yükümlülüklerini yerine getirmeyen kurumlara karşı rücu ve tahliye işlemleri başlatıldı mı?</v>
          </cell>
          <cell r="B495" t="str">
            <v>Özel Protokol Hükümleri / 2886 S.</v>
          </cell>
          <cell r="C495" t="str">
            <v>k.</v>
          </cell>
        </row>
        <row r="496">
          <cell r="A496" t="str">
            <v>Protokol gereği tahsisli tesislere ait elektrik, su ve ısınma giderleri yüklenici/belediye tarafından ödenmiş mi? İdarece ödenen tutarlar rücu ediliyor mu?</v>
          </cell>
          <cell r="B496" t="str">
            <v>Borçlar Kanunu / Protokol Hük</v>
          </cell>
          <cell r="C496" t="str">
            <v>hükümleri</v>
          </cell>
        </row>
        <row r="497">
          <cell r="A497" t="str">
            <v>Tesislerde yapılan organizasyonların net hasılatından alınması gereken %7 Bakanlık payı takip edilerek tahsilatı gerçekleştirilmekte midir?</v>
          </cell>
          <cell r="B497" t="str">
            <v>Sportif Müsb. Has. Dağ. Dair Yön.</v>
          </cell>
          <cell r="C497" t="str">
            <v>md. 8</v>
          </cell>
        </row>
        <row r="498">
          <cell r="A498" t="str">
            <v>Kamulaştırma işlemleri devam eden veya tamamlanan alanların işgal edilmesi (otopark vb.) durumunda ecrimisil ve tahliye süreci işletiliyor mu?</v>
          </cell>
          <cell r="B498" t="str">
            <v>2942 S.K. / 3091 S.K. / Taşınmaz İd.</v>
          </cell>
          <cell r="C498" t="str">
            <v>/ taşınmaz id. yön.</v>
          </cell>
        </row>
        <row r="499">
          <cell r="A499" t="str">
            <v>Kiraya verilen alanların (büfe vb.) devir işlemlerinde, ihale şartnamesindeki sürelere uyuluyor mu? Mevzuata aykırı süre uzatımı yapılıyor mu?</v>
          </cell>
          <cell r="B499" t="str">
            <v>Taşınmazların İdaresi Hakkında Yön.</v>
          </cell>
          <cell r="C499" t="str">
            <v>md. 75</v>
          </cell>
        </row>
        <row r="500">
          <cell r="A500" t="str">
            <v>Tesislerin fiziki standartları (çatı yangın direnci, kamera sistemi, kurumsal logo, tartan zemin bakımı) mevzuata ve kurumsal kimliğe uygun mu?</v>
          </cell>
          <cell r="B500" t="str">
            <v>Yangından Korunma Yön.</v>
          </cell>
          <cell r="C500" t="str">
            <v>md. 28 / kurumsal kimlik klavuzu</v>
          </cell>
        </row>
        <row r="501">
          <cell r="A501" t="str">
            <v>Kiraya verilen taşınmazların süresi; turistik ve enerji tesisleri hariç olmak üzere, mevzuatta öngörülen 10 yıllık üst sınırı aşmakta mıdır?</v>
          </cell>
          <cell r="B501" t="str">
            <v>Taşınmazların İdaresi Hakkında Yön.</v>
          </cell>
          <cell r="C501" t="str">
            <v>md. 78</v>
          </cell>
        </row>
        <row r="502">
          <cell r="A502" t="str">
            <v>İhale şartnamelerinde; müstecirlerden ve vekillerinden adli sicil kaydı istenilerek, Bakanlık misyonuna aykırı suç kaydı olanların elenmesi sağlanıyor mu?</v>
          </cell>
          <cell r="B502" t="str">
            <v>1 Sayılı CBK Md. 187 / İhale Şartna</v>
          </cell>
          <cell r="C502" t="str">
            <v>şartnameleri</v>
          </cell>
        </row>
        <row r="503">
          <cell r="A503" t="str">
            <v>Kira süresi biten ancak tahliye edilmeyen taşınmazlarda; sözleşmedeki "günlük binde beş cezai şart" hükmü yerine hatalı olarak ecrimisil mi uygulanıyor?</v>
          </cell>
          <cell r="B503" t="str">
            <v>2886 S.K. Md.</v>
          </cell>
          <cell r="C503" t="str">
            <v>75 / tip sözleşme md. 17</v>
          </cell>
        </row>
        <row r="504">
          <cell r="A504" t="str">
            <v>Sözleşmesi feshedilen veya süresi dolan taşınmazların fuzuli işgali durumunda; cezai şartın tahsili ile eş zamanlı olarak tahliye süreci başlatılmış mıdır?</v>
          </cell>
          <cell r="B504" t="str">
            <v>Hazine Taşınmazlarının İdaresi Yön.</v>
          </cell>
          <cell r="C504" t="str">
            <v>md. 85</v>
          </cell>
        </row>
        <row r="505">
          <cell r="A505" t="str">
            <v>İş artışları; ihale öncesi sağlıklı yer incelemesi yapılmaması veya projedeki eksikliklerin giderilmesi amacıyla mı kullanılmaktadır?</v>
          </cell>
          <cell r="B505" t="str">
            <v>4735 S.K. Md. 24 / Yapım İşl. G.Ş.</v>
          </cell>
          <cell r="C505" t="str">
            <v>md. 21</v>
          </cell>
        </row>
        <row r="506">
          <cell r="A506" t="str">
            <v>Uygulama projesi bulunan yapım işlerinde; mevzuata aykırı olarak birim fiyat teklif yerine "Anahtar Teslimi Götürü Bedel" usulü uygulanıyor mu?</v>
          </cell>
          <cell r="B506" t="str">
            <v xml:space="preserve">4734 Sayılı Kanun </v>
          </cell>
          <cell r="C506" t="str">
            <v>md. 62</v>
          </cell>
        </row>
        <row r="507">
          <cell r="A507" t="str">
            <v>Yüklenici; yer tesliminden itibaren 10 gün içinde teknik personel bildirimini ve belgelerini (diploma, taahhütname vb.) idareye sunmuş mudur?</v>
          </cell>
          <cell r="B507" t="str">
            <v>Yapım İşleri Genel Şartnamesi Md</v>
          </cell>
          <cell r="C507" t="str">
            <v>md. 19/6</v>
          </cell>
        </row>
        <row r="508">
          <cell r="A508" t="str">
            <v>Yapım işleri ihalelerine; arsa temini, mülkiyet, kamulaştırma, imar ve yapı ruhsatı işlemleri tamamen bitirildikten sonra mı çıkılmaktadır?</v>
          </cell>
          <cell r="B508" t="str">
            <v>4734 Sayılı Kanun Md</v>
          </cell>
          <cell r="C508" t="str">
            <v>md. 62/c</v>
          </cell>
        </row>
        <row r="509">
          <cell r="A509" t="str">
            <v>Personel görevlendirmeleri; norm kadro sayıları, hizmet standartları ve tesis ihtiyaçları gözetilerek dengeli ve verimli şekilde yapılmış mıdır?</v>
          </cell>
          <cell r="B509" t="str">
            <v>Taşra Teşkilatı Çalışma Usul ve Esas.</v>
          </cell>
          <cell r="C509" t="str">
            <v>yön.</v>
          </cell>
        </row>
        <row r="510">
          <cell r="A510" t="str">
            <v>Kız yurtlarında öncelikle kadın güvenlik personeli görevlendirilmesi sağlanarak; personel dağılımında liyakat ve hizmet gereklerine uyuluyor mu?</v>
          </cell>
          <cell r="B510" t="str">
            <v>Bakanlık Norm Kadro İlke ve Standa</v>
          </cell>
          <cell r="C510" t="str">
            <v>standartları</v>
          </cell>
        </row>
        <row r="511">
          <cell r="A511" t="str">
            <v>Havuzlarda; derinlik ve m2 kriterlerine göre (her 500 m2 için min. 2 bronz) yeterli sayıda cankurtaran görevlendirilmiş midir?</v>
          </cell>
          <cell r="B511" t="str">
            <v>Türkiye Sualtı Sporları Fed.</v>
          </cell>
          <cell r="C511" t="str">
            <v>tal.</v>
          </cell>
        </row>
        <row r="512">
          <cell r="A512" t="str">
            <v>Personelin il içi görev ve yer değişikliği işlemleri; yetki aşımına yol açılmadan münhasıran "Personel ve Tahakkuk Birimi"nce mi yürütülüyor?</v>
          </cell>
          <cell r="B512" t="str">
            <v>Taşra Teşkilatı Kuruluş ve Görev Yön.</v>
          </cell>
          <cell r="C512" t="str">
            <v>md. 19</v>
          </cell>
        </row>
        <row r="513">
          <cell r="A513" t="str">
            <v>Sürekli işçilerin hafta sonu ve resmi tatil çalışmaları; puantaj dışında fiili çalışmayı kanıtlayan (imza föyü, rapor vb.) belgelerle tevsik ediliyor mu?</v>
          </cell>
          <cell r="B513" t="str">
            <v xml:space="preserve">4857 Sayılı İş Kanunu / Kamu Mali Yön. </v>
          </cell>
          <cell r="C513" t="str">
            <v>kanunu</v>
          </cell>
        </row>
        <row r="514">
          <cell r="A514" t="str">
            <v>Fazla çalışmalarda; öncelikle İş Kanunu'nda öngörülen "Denkleştirme" ve "Serbest Zaman" uygulamaları işletilerek tasarruf sağlanmakta mıdır?</v>
          </cell>
          <cell r="B514" t="str">
            <v>4857 S.K. Md.</v>
          </cell>
          <cell r="C514" t="str">
            <v>md. 41-63 / tasarruf tedbirleri gen.</v>
          </cell>
        </row>
        <row r="515">
          <cell r="A515" t="str">
            <v>Gençlik ve spor hizmetlerinde görevlendirilen personele ödenen "Görev Ücretleri"; asli görev dışındaki fiili çalışma saatlerini gösteren tutanaklarla tevsik ediliyor mu?</v>
          </cell>
          <cell r="B515" t="str">
            <v>2001/2863 Sayılı BKK / 5018 Sayılı</v>
          </cell>
          <cell r="C515" t="str">
            <v>kanun</v>
          </cell>
        </row>
        <row r="516">
          <cell r="A516" t="str">
            <v>Görevlendirme onayları; yıllık genel listeler yerine; faaliyetin yeri, zamanı ve tasarruf tedbirleri gözetilerek "program bazlı" mı alınmaktadır?</v>
          </cell>
          <cell r="B516" t="str">
            <v>2001/2863 S.K. Md.</v>
          </cell>
          <cell r="C516" t="str">
            <v>md. 5 / tasarruf tedbirleri gen.</v>
          </cell>
        </row>
        <row r="517">
          <cell r="A517" t="str">
            <v>Personel özlük dosyaları; Kamu Personeli 2 Seri No’lu Genel Tebliği'nde öngörülen 8 bölümlü tasnif yapısına ve belge düzenine uygun mu?</v>
          </cell>
          <cell r="B517" t="str">
            <v>Kamu Personeli 2 Seri No’lu Genel T</v>
          </cell>
          <cell r="C517" t="str">
            <v>tebliği</v>
          </cell>
        </row>
        <row r="518">
          <cell r="A518" t="str">
            <v>Mal bildirim formları; gizlilik esasına uygun olarak, içeriği dışarıdan görülmeyecek şekilde "kapalı zarf" içerisinde ve mühürlü mü saklanıyor?</v>
          </cell>
          <cell r="B518" t="str">
            <v>Mal Bildiriminde Bulunulması Hak. Yön.</v>
          </cell>
          <cell r="C518" t="str">
            <v>md. 15</v>
          </cell>
        </row>
        <row r="519">
          <cell r="A519" t="str">
            <v>Aile yardımı alan personelin eşlerine dair SGK tescil ve hizmet dökümleri periyodik olarak kontrol edilerek, çalışan eşler için haksız ödeme yapılması engelleniyor mu?</v>
          </cell>
          <cell r="B519" t="str">
            <v>657 Sayılı Kanun M</v>
          </cell>
          <cell r="C519" t="str">
            <v>md. 202</v>
          </cell>
        </row>
        <row r="520">
          <cell r="A520" t="str">
            <v>İl içi ve iller arası personel görevlendirmeleri; yetki aşımına yol açılmadan, münhasıran Personel Genel Müdürlüğü onayı ve koordinesinde mi yürütülmektedir?</v>
          </cell>
          <cell r="B520" t="str">
            <v>1 Sayılı CBK / PGM Görev Yön</v>
          </cell>
          <cell r="C520" t="str">
            <v>yönergesi</v>
          </cell>
        </row>
        <row r="521">
          <cell r="A521" t="str">
            <v>Müdür unvanlı personelin il içi görev yeri tespiti; Genelge 2021/1 uyarınca Vali teklifi ve Bakan onayı ile mi gerçekleştiriliyor?</v>
          </cell>
          <cell r="B521" t="str">
            <v>Genelge 2021/1 (Taşra Teşkilatı G.Y.T.)</v>
          </cell>
          <cell r="C521" t="str">
            <v>t.)</v>
          </cell>
        </row>
        <row r="522">
          <cell r="A522" t="str">
            <v>Sürekli işçi (4/D) statüsündeki personelin, yalnızca memur kadroları için öngörülen "Şef" unvanı ile görevlendirilmesi engellenmiş midir?</v>
          </cell>
          <cell r="B522" t="str">
            <v>657 Sayılı Kanun / 4857 Sayılı</v>
          </cell>
          <cell r="C522" t="str">
            <v>kanun</v>
          </cell>
        </row>
        <row r="523">
          <cell r="A523" t="str">
            <v>Norm kadro cetvelinde yer almayan "Birim Sorumlusu" gibi yetkisiz unvanlar üzerinden personel görevlendirmesi yapılıyor mu?</v>
          </cell>
          <cell r="B523" t="str">
            <v>Bakanlık Norm Kadro İlke ve Standa</v>
          </cell>
          <cell r="C523" t="str">
            <v>standartları</v>
          </cell>
        </row>
        <row r="524">
          <cell r="A524" t="str">
            <v>696 Sayılı KHK (375 Sayılı KHK Geçici 23. Md.) kapsamında kadroya geçen işçiler, geçiş öncesi ihale sözleşmesindeki asıl işlerinde mi çalıştırılıyor?</v>
          </cell>
          <cell r="B524" t="str">
            <v>375 Sayılı KHK Geçici 23. Md.</v>
          </cell>
          <cell r="C524" t="str">
            <v>/ strateji ve bütçe bşk. yazısı</v>
          </cell>
        </row>
        <row r="525">
          <cell r="A525" t="str">
            <v>Temizlik, güvenlik veya antrenör kadrosundaki personelin; asıl görev alanları dışında "büro personeli" olarak görevlendirilmesi nedeniyle birimlerde zafiyet oluşuyor mu?</v>
          </cell>
          <cell r="B525" t="str">
            <v>375 Sayılı KHK Geçici 23.</v>
          </cell>
          <cell r="C525" t="str">
            <v>md. / 4857 sayılı kanun</v>
          </cell>
        </row>
        <row r="526">
          <cell r="A526" t="str">
            <v>Özel güvenlik personelinin sertifika ve kimlik kartı geçerlilik süreleri (5 yıl) takip edilerek yenileme eğitimleri zamanında yaptırılıyor mu?</v>
          </cell>
          <cell r="B526" t="str">
            <v>Özel Güv. Hiz. Dair Kanun Uyg. Yön.</v>
          </cell>
          <cell r="C526" t="str">
            <v>md. 41</v>
          </cell>
        </row>
        <row r="527">
          <cell r="A527" t="str">
            <v>Disiplin soruşturmalarında görevlendirilen muhakkiklerin, hakkında soruşturma yapılan memurdan hiyerarşik olarak alt seviyede olmaması kuralına uyuluyor mu?</v>
          </cell>
          <cell r="B527" t="str">
            <v xml:space="preserve">Devlet Memurları Disiplin Yönetmeliği </v>
          </cell>
          <cell r="C527" t="str">
            <v>md. 28</v>
          </cell>
        </row>
        <row r="528">
          <cell r="A528" t="str">
            <v>Disiplin cezalarında, fiilin işlendiği tarihten itibaren "2 yıllık ceza verme zamanaşımı" süresi dolmadan işlemler tamamlanmakta mıdır?</v>
          </cell>
          <cell r="B528" t="str">
            <v>657 Sayılı Kanun M</v>
          </cell>
          <cell r="C528" t="str">
            <v>md. 127</v>
          </cell>
        </row>
        <row r="529">
          <cell r="A529" t="str">
            <v>Personel; Bakanlığın gençlere yönelik vizyonu ve kurumsal kimliği ile uyumlu şekilde "Kamu Kurum ve Kuruluşlarında Çalışan Personelin Kılık ve Kıyafetine Dair Yönetmelik" hükümlerine uygun giyinmekte midir?</v>
          </cell>
          <cell r="B529" t="str">
            <v>Kılık ve Kıyafet Yönetmeliği / Bakanlık Vizyon B</v>
          </cell>
          <cell r="C529" t="str">
            <v>belgesi</v>
          </cell>
        </row>
        <row r="530">
          <cell r="A530" t="str">
            <v>Personelin niteliğini artırmaya yönelik; iş güvenliği, ilk yardım ve e-ihale gibi teknik konularda düzenli hizmet içi eğitimler veriliyor mu?</v>
          </cell>
          <cell r="B530" t="str">
            <v>657 S.K.</v>
          </cell>
          <cell r="C530" t="str">
            <v>/ iş sağlığı ve güv. kanunu</v>
          </cell>
        </row>
        <row r="531">
          <cell r="A531" t="str">
            <v>Personel Takip Sistemi (PDKS) aktif olarak kullanılıyor mu? Mesai saatlerinde görev yerinde bulunmayan personel için yasal işlem tesis ediliyor mu?</v>
          </cell>
          <cell r="B531" t="str">
            <v>657 S.K.</v>
          </cell>
          <cell r="C531" t="str">
            <v>md. 99 / disiplin yönetmeliği</v>
          </cell>
        </row>
        <row r="532">
          <cell r="A532" t="str">
            <v>Sürekli işçilerin yıllık izinleri, mali yük oluşturmaması için hak kazandıkları yıl içinde kullandırılıyor mu? Birikmiş izinler için planlama yapılmış mı?</v>
          </cell>
          <cell r="B532" t="str">
            <v>4857 S.K.</v>
          </cell>
          <cell r="C532" t="str">
            <v>md. 56-59-103 / tasarruf genelgesi</v>
          </cell>
        </row>
        <row r="533">
          <cell r="A533" t="str">
            <v>Harcama yetkilisi, gerçekleştirme görevlisi ve muhasebe görevlisi yetkileri; mevzuata aykırı şekilde aynı kişi üzerinde mi birleşmektedir?</v>
          </cell>
          <cell r="B533" t="str">
            <v>5018 S.K. Md. 60 / Taşra Teşkilatı Muh.</v>
          </cell>
          <cell r="C533" t="str">
            <v>60 / taşra teşkilatı muh. yön.</v>
          </cell>
        </row>
        <row r="534">
          <cell r="A534" t="str">
            <v>Kurumdan ayrılan işçilerle; ayrılış tarihinden en az bir ay sonra, banka kanalıyla ödeme yapılarak "Yazılı İbraname" imzalatılmakta mıdır?</v>
          </cell>
          <cell r="B534" t="str">
            <v>Türk Borçlar Kanunu M</v>
          </cell>
          <cell r="C534" t="str">
            <v>md. 420</v>
          </cell>
        </row>
        <row r="535">
          <cell r="A535" t="str">
            <v>375 sayılı KHK uyarınca feshedilen hizmet alımı sözleşmelerinde; yüklenici tazminatları [(Sözleşme Bedeli x 0,80) - Tamamlanan İş] x 0,05 formülüne uygun hesaplanıyor mu?</v>
          </cell>
          <cell r="B535" t="str">
            <v>375 Sayılı KHK Geçici 23. Md. Uyg.</v>
          </cell>
          <cell r="C535" t="str">
            <v>uyg. usul ve esas.</v>
          </cell>
        </row>
        <row r="536">
          <cell r="A536" t="str">
            <v>İl Müdürlüğü ve bağlı tesislerdeki fiili personel sayıları; hizmetin aksamaması için Bakanlıkça belirlenen "Norm Kadro" sayılarına uygun düzeye getirilmiş mi?</v>
          </cell>
          <cell r="B536" t="str">
            <v>Bakanlık Norm Kadro İlke ve Standa</v>
          </cell>
          <cell r="C536" t="str">
            <v>standartları</v>
          </cell>
        </row>
        <row r="537">
          <cell r="A537" t="str">
            <v>Havuzlarda görevli cankurtaranların sertifika geçerlilik süreleri takip ediliyor mu? Sertifikasız veya eksik personel ile havuz işletilmesine izin veriliyor mu?</v>
          </cell>
          <cell r="B537" t="str">
            <v>Türkiye Sualtı Sporları Fed.</v>
          </cell>
          <cell r="C537" t="str">
            <v>tal.</v>
          </cell>
        </row>
        <row r="538">
          <cell r="A538" t="str">
            <v>Kulüp, federasyon, firma ve belediyelerden olan idare alacaklarının tahsili için gerekli icra ve dava süreçleri zaman aşımına uğratılmadan başlatılmış mıdır?</v>
          </cell>
          <cell r="C538" t="str">
            <v>yok</v>
          </cell>
        </row>
        <row r="539">
          <cell r="A539" t="str">
            <v>Sürekli işçi kadrosuna geçen personelin, 01.04.2018 öncesi alt işveren dönemine ait kıdem tazminatı tutarları ilgili yüklenicilere rücu ediliyor mu?</v>
          </cell>
          <cell r="C539" t="str">
            <v>yok</v>
          </cell>
        </row>
        <row r="540">
          <cell r="A540" t="str">
            <v>Ödenen kıdem tazminatları sonrası "Halefiyet İlkesi" uyarınca rücuen tazmin davalarının açılmasına dair hukuk birimi ile eşgüdüm sağlanmakta mıdır?</v>
          </cell>
          <cell r="C540" t="str">
            <v>yok</v>
          </cell>
        </row>
        <row r="541">
          <cell r="A541" t="str">
            <v>Aselsan A.Ş. protokolü kapsamında tesis edilen güvenlik kameralarının çalışmama veya kayıt almama sorunları Bilgi İşlem Dairesi Başkanlığına bildirilmiş mi?</v>
          </cell>
          <cell r="C541" t="str">
            <v>yok</v>
          </cell>
        </row>
        <row r="542">
          <cell r="A542" t="str">
            <v>İller arası görevlendirmeler; Gençlik Hizmetleri gibi birimlerin yetki aşımıyla değil, münhasıran Personel Genel Müdürlüğü onayıyla mı yapılıyor?</v>
          </cell>
          <cell r="C542" t="str">
            <v>yok</v>
          </cell>
        </row>
        <row r="543">
          <cell r="A543" t="str">
            <v>Sözleşmeli antrenörlere "sözleşme ücreti dışında ödeme yapılamaz" kuralına aykırı olan İl Spor Merkezleri Yönergesi maddesi revize edilmiş midir?</v>
          </cell>
          <cell r="C543" t="str">
            <v>yok</v>
          </cell>
        </row>
        <row r="544">
          <cell r="A544" t="str">
            <v>İl Müdürlüğü idari binasında; ihale, taşınır ve yapım işlerinde görev alacak "uzman ve sabit" personel kadrosu norm kadroya uygun mu?</v>
          </cell>
          <cell r="C544" t="str">
            <v>yok</v>
          </cell>
        </row>
        <row r="545">
          <cell r="A545" t="str">
            <v>Merkez birimlerce organize edilen faaliyetlerde; "ödenek gönderilmeden harcama yapılması" yönündeki talimatların mevzuata aykırılığı saptanmış mıdır?</v>
          </cell>
          <cell r="C545" t="str">
            <v>yok</v>
          </cell>
        </row>
        <row r="546">
          <cell r="A546" t="str">
            <v>Harcama talimatları; bütçe ilke ve esaslarına uygun olarak, kullanılabilir ödenek ve gerçekleştirme usulü bilgilerini ihtiva ediyor mu?</v>
          </cell>
          <cell r="C546" t="str">
            <v>yok</v>
          </cell>
        </row>
        <row r="547">
          <cell r="A547" t="str">
            <v>Konaklama hizmeti alımlarında; "en az dört yıldızlı otel" gibi kısıtlayıcı ve tasarruf ilkelerine aykırı olabilecek kriterlerin dayanağı mevcut mu?</v>
          </cell>
          <cell r="C547" t="str">
            <v>yok</v>
          </cell>
        </row>
        <row r="548">
          <cell r="A548" t="str">
            <v>2001/2863 sayılı "Esaslar"ın, mahkeme kararları ve değişen hizmet ihtiyaçları (SEM, TOHM vb.) doğrultusunda uygulama birliği sağlamak üzere revize edilmesi için çalışma başlatılmış mıdır?</v>
          </cell>
          <cell r="C548" t="str">
            <v>yok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C1"/>
  <sheetViews>
    <sheetView zoomScale="85" zoomScaleNormal="85" workbookViewId="0"/>
  </sheetViews>
  <sheetFormatPr defaultRowHeight="14.5" x14ac:dyDescent="0.35"/>
  <cols>
    <col min="1" max="3" width="8.7265625" style="1"/>
    <col min="4" max="16384" width="8.726562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2:N549"/>
  <sheetViews>
    <sheetView tabSelected="1" topLeftCell="D1" zoomScale="84" zoomScaleNormal="84" workbookViewId="0">
      <selection activeCell="I7" sqref="I7"/>
    </sheetView>
  </sheetViews>
  <sheetFormatPr defaultRowHeight="15.5" x14ac:dyDescent="0.35"/>
  <cols>
    <col min="1" max="3" width="8.7265625" style="1"/>
    <col min="4" max="4" width="8.7265625" style="2"/>
    <col min="5" max="5" width="7.90625" style="3" bestFit="1" customWidth="1"/>
    <col min="6" max="6" width="27.54296875" style="3" bestFit="1" customWidth="1"/>
    <col min="7" max="7" width="14.6328125" style="3" bestFit="1" customWidth="1"/>
    <col min="8" max="8" width="38.26953125" style="3" bestFit="1" customWidth="1"/>
    <col min="9" max="9" width="52" style="8" bestFit="1" customWidth="1"/>
    <col min="10" max="10" width="43.54296875" style="8" customWidth="1"/>
    <col min="11" max="11" width="43.54296875" style="3" customWidth="1"/>
    <col min="12" max="12" width="26.36328125" style="3" bestFit="1" customWidth="1"/>
    <col min="13" max="13" width="19.90625" style="3" customWidth="1"/>
    <col min="14" max="14" width="19" style="3" customWidth="1"/>
    <col min="15" max="16384" width="8.7265625" style="2"/>
  </cols>
  <sheetData>
    <row r="2" spans="5:14" x14ac:dyDescent="0.35">
      <c r="E2" s="4" t="s">
        <v>0</v>
      </c>
      <c r="F2" s="4" t="s">
        <v>1</v>
      </c>
      <c r="G2" s="4" t="s">
        <v>6</v>
      </c>
      <c r="H2" s="4" t="s">
        <v>7</v>
      </c>
      <c r="I2" s="7" t="s">
        <v>2</v>
      </c>
      <c r="J2" s="7" t="s">
        <v>574</v>
      </c>
      <c r="K2" s="4" t="s">
        <v>573</v>
      </c>
      <c r="L2" s="4" t="s">
        <v>3</v>
      </c>
      <c r="M2" s="4" t="s">
        <v>4</v>
      </c>
      <c r="N2" s="4" t="s">
        <v>5</v>
      </c>
    </row>
    <row r="3" spans="5:14" ht="46.5" x14ac:dyDescent="0.35">
      <c r="E3" s="3">
        <v>1</v>
      </c>
      <c r="F3" s="3" t="s">
        <v>108</v>
      </c>
      <c r="G3" s="3" t="s">
        <v>650</v>
      </c>
      <c r="H3" s="3" t="s">
        <v>650</v>
      </c>
      <c r="I3" s="5" t="s">
        <v>18</v>
      </c>
      <c r="J3" s="5" t="str">
        <f>VLOOKUP(I3,[1]Sayfa1!$A:$C,2,0)</f>
        <v>Özel Spor Tes. Yön.</v>
      </c>
      <c r="K3" s="5" t="str">
        <f>VLOOKUP(I3,[1]Sayfa1!$A:$C,3,0)</f>
        <v>md. 5</v>
      </c>
      <c r="L3" s="3" t="s">
        <v>17</v>
      </c>
      <c r="N3" s="3" t="s">
        <v>8</v>
      </c>
    </row>
    <row r="4" spans="5:14" ht="46.5" x14ac:dyDescent="0.35">
      <c r="E4" s="3">
        <v>2</v>
      </c>
      <c r="F4" s="3" t="s">
        <v>108</v>
      </c>
      <c r="G4" s="3" t="s">
        <v>650</v>
      </c>
      <c r="H4" s="3" t="s">
        <v>650</v>
      </c>
      <c r="I4" s="5" t="s">
        <v>19</v>
      </c>
      <c r="J4" s="5" t="str">
        <f>VLOOKUP(I4,[1]Sayfa1!$A:$C,2,0)</f>
        <v>Özel Spor Tes. Yön.</v>
      </c>
      <c r="K4" s="5" t="str">
        <f>VLOOKUP(I4,[1]Sayfa1!$A:$C,3,0)</f>
        <v>md. 5</v>
      </c>
      <c r="L4" s="3" t="s">
        <v>15</v>
      </c>
      <c r="N4" s="3" t="s">
        <v>9</v>
      </c>
    </row>
    <row r="5" spans="5:14" ht="31" x14ac:dyDescent="0.35">
      <c r="E5" s="3">
        <v>3</v>
      </c>
      <c r="F5" s="3" t="s">
        <v>108</v>
      </c>
      <c r="G5" s="3" t="s">
        <v>650</v>
      </c>
      <c r="H5" s="3" t="s">
        <v>678</v>
      </c>
      <c r="I5" s="5" t="s">
        <v>20</v>
      </c>
      <c r="J5" s="5" t="str">
        <f>VLOOKUP(I5,[1]Sayfa1!$A:$C,2,0)</f>
        <v>Özel Spor Tes. Yön.</v>
      </c>
      <c r="K5" s="5" t="str">
        <f>VLOOKUP(I5,[1]Sayfa1!$A:$C,3,0)</f>
        <v>md. 11</v>
      </c>
      <c r="L5" s="3" t="s">
        <v>16</v>
      </c>
      <c r="N5" s="3" t="s">
        <v>10</v>
      </c>
    </row>
    <row r="6" spans="5:14" ht="46.5" x14ac:dyDescent="0.35">
      <c r="E6" s="3">
        <v>4</v>
      </c>
      <c r="F6" s="3" t="s">
        <v>108</v>
      </c>
      <c r="G6" s="3" t="s">
        <v>650</v>
      </c>
      <c r="H6" s="3" t="s">
        <v>681</v>
      </c>
      <c r="I6" s="10" t="s">
        <v>21</v>
      </c>
      <c r="J6" s="5" t="str">
        <f>VLOOKUP(I6,[1]Sayfa1!$A:$C,2,0)</f>
        <v>Özel Spor Tes. Yön.</v>
      </c>
      <c r="K6" s="5" t="str">
        <f>VLOOKUP(I6,[1]Sayfa1!$A:$C,3,0)</f>
        <v>md. 11</v>
      </c>
      <c r="L6" s="3" t="s">
        <v>15</v>
      </c>
      <c r="N6" s="3" t="s">
        <v>11</v>
      </c>
    </row>
    <row r="7" spans="5:14" ht="46.5" x14ac:dyDescent="0.35">
      <c r="E7" s="3">
        <v>5</v>
      </c>
      <c r="F7" s="3" t="s">
        <v>108</v>
      </c>
      <c r="G7" s="3" t="s">
        <v>650</v>
      </c>
      <c r="H7" s="3" t="s">
        <v>682</v>
      </c>
      <c r="I7" s="5" t="s">
        <v>22</v>
      </c>
      <c r="J7" s="5" t="str">
        <f>VLOOKUP(I7,[1]Sayfa1!$A:$C,2,0)</f>
        <v>Özel Spor Tes. Yön.</v>
      </c>
      <c r="K7" s="5" t="str">
        <f>VLOOKUP(I7,[1]Sayfa1!$A:$C,3,0)</f>
        <v>md. 13</v>
      </c>
      <c r="L7" s="3" t="s">
        <v>16</v>
      </c>
      <c r="N7" s="3" t="s">
        <v>12</v>
      </c>
    </row>
    <row r="8" spans="5:14" ht="62" x14ac:dyDescent="0.35">
      <c r="E8" s="3">
        <v>6</v>
      </c>
      <c r="F8" s="3" t="s">
        <v>108</v>
      </c>
      <c r="G8" s="3" t="s">
        <v>650</v>
      </c>
      <c r="H8" s="3" t="s">
        <v>682</v>
      </c>
      <c r="I8" s="5" t="s">
        <v>23</v>
      </c>
      <c r="J8" s="5" t="str">
        <f>VLOOKUP(I8,[1]Sayfa1!$A:$C,2,0)</f>
        <v>Özel Spor Tes. Yön.</v>
      </c>
      <c r="K8" s="5" t="str">
        <f>VLOOKUP(I8,[1]Sayfa1!$A:$C,3,0)</f>
        <v>md. 12</v>
      </c>
      <c r="L8" s="3" t="s">
        <v>17</v>
      </c>
      <c r="N8" s="3" t="s">
        <v>8</v>
      </c>
    </row>
    <row r="9" spans="5:14" ht="31" x14ac:dyDescent="0.35">
      <c r="E9" s="3">
        <v>7</v>
      </c>
      <c r="F9" s="3" t="s">
        <v>108</v>
      </c>
      <c r="G9" s="3" t="s">
        <v>650</v>
      </c>
      <c r="H9" s="3" t="s">
        <v>682</v>
      </c>
      <c r="I9" s="5" t="s">
        <v>24</v>
      </c>
      <c r="J9" s="5" t="str">
        <f>VLOOKUP(I9,[1]Sayfa1!$A:$C,2,0)</f>
        <v>Özel Spor Tes. Yön.</v>
      </c>
      <c r="K9" s="5" t="str">
        <f>VLOOKUP(I9,[1]Sayfa1!$A:$C,3,0)</f>
        <v>md. 13</v>
      </c>
      <c r="N9" s="3" t="s">
        <v>10</v>
      </c>
    </row>
    <row r="10" spans="5:14" ht="46.5" x14ac:dyDescent="0.35">
      <c r="E10" s="3">
        <v>8</v>
      </c>
      <c r="F10" s="3" t="s">
        <v>108</v>
      </c>
      <c r="G10" s="3" t="s">
        <v>650</v>
      </c>
      <c r="H10" s="3" t="s">
        <v>683</v>
      </c>
      <c r="I10" s="5" t="s">
        <v>25</v>
      </c>
      <c r="J10" s="5" t="str">
        <f>VLOOKUP(I10,[1]Sayfa1!$A:$C,2,0)</f>
        <v>Özel Spor Tes. Yön.</v>
      </c>
      <c r="K10" s="5" t="str">
        <f>VLOOKUP(I10,[1]Sayfa1!$A:$C,3,0)</f>
        <v>md. 14</v>
      </c>
    </row>
    <row r="11" spans="5:14" ht="46.5" x14ac:dyDescent="0.35">
      <c r="E11" s="3">
        <v>9</v>
      </c>
      <c r="F11" s="3" t="s">
        <v>108</v>
      </c>
      <c r="G11" s="3" t="s">
        <v>650</v>
      </c>
      <c r="H11" s="3" t="s">
        <v>683</v>
      </c>
      <c r="I11" s="5" t="s">
        <v>26</v>
      </c>
      <c r="J11" s="5" t="str">
        <f>VLOOKUP(I11,[1]Sayfa1!$A:$C,2,0)</f>
        <v>Özel Spor Tes. Yön.</v>
      </c>
      <c r="K11" s="5" t="str">
        <f>VLOOKUP(I11,[1]Sayfa1!$A:$C,3,0)</f>
        <v>md. 17, 18, 19</v>
      </c>
    </row>
    <row r="12" spans="5:14" ht="46.5" x14ac:dyDescent="0.35">
      <c r="E12" s="3">
        <v>10</v>
      </c>
      <c r="F12" s="3" t="s">
        <v>108</v>
      </c>
      <c r="G12" s="3" t="s">
        <v>650</v>
      </c>
      <c r="H12" s="3" t="s">
        <v>650</v>
      </c>
      <c r="I12" s="5" t="s">
        <v>27</v>
      </c>
      <c r="J12" s="5" t="str">
        <f>VLOOKUP(I12,[1]Sayfa1!$A:$C,2,0)</f>
        <v>Özel Spor Tes. Yön.</v>
      </c>
      <c r="K12" s="5" t="str">
        <f>VLOOKUP(I12,[1]Sayfa1!$A:$C,3,0)</f>
        <v>md. 22, 26</v>
      </c>
    </row>
    <row r="13" spans="5:14" ht="46.5" x14ac:dyDescent="0.35">
      <c r="E13" s="3">
        <v>11</v>
      </c>
      <c r="F13" s="3" t="s">
        <v>108</v>
      </c>
      <c r="G13" s="3" t="s">
        <v>650</v>
      </c>
      <c r="H13" s="3" t="s">
        <v>684</v>
      </c>
      <c r="I13" s="5" t="s">
        <v>28</v>
      </c>
      <c r="J13" s="5" t="str">
        <f>VLOOKUP(I13,[1]Sayfa1!$A:$C,2,0)</f>
        <v>Bakanlık Makam Talimatı (2019/66</v>
      </c>
      <c r="K13" s="5" t="str">
        <f>VLOOKUP(I13,[1]Sayfa1!$A:$C,3,0)</f>
        <v>talimatı (2019/66</v>
      </c>
    </row>
    <row r="14" spans="5:14" ht="46.5" x14ac:dyDescent="0.35">
      <c r="E14" s="3">
        <v>12</v>
      </c>
      <c r="F14" s="3" t="s">
        <v>108</v>
      </c>
      <c r="G14" s="3" t="s">
        <v>650</v>
      </c>
      <c r="H14" s="3" t="s">
        <v>685</v>
      </c>
      <c r="I14" s="5" t="s">
        <v>29</v>
      </c>
      <c r="J14" s="5" t="str">
        <f>VLOOKUP(I14,[1]Sayfa1!$A:$C,2,0)</f>
        <v>Bakanlık Makam Talimatı (2019/66)</v>
      </c>
      <c r="K14" s="5" t="str">
        <f>VLOOKUP(I14,[1]Sayfa1!$A:$C,3,0)</f>
        <v>talimatı (2019/66)</v>
      </c>
    </row>
    <row r="15" spans="5:14" ht="46.5" x14ac:dyDescent="0.35">
      <c r="E15" s="3">
        <v>13</v>
      </c>
      <c r="F15" s="3" t="s">
        <v>108</v>
      </c>
      <c r="G15" s="3" t="s">
        <v>650</v>
      </c>
      <c r="H15" s="3" t="s">
        <v>685</v>
      </c>
      <c r="I15" s="5" t="s">
        <v>30</v>
      </c>
      <c r="J15" s="5" t="str">
        <f>VLOOKUP(I15,[1]Sayfa1!$A:$C,2,0)</f>
        <v>Bakanlık Makam Talimatı (2019/66)</v>
      </c>
      <c r="K15" s="5" t="str">
        <f>VLOOKUP(I15,[1]Sayfa1!$A:$C,3,0)</f>
        <v>talimatı (2019/66)</v>
      </c>
    </row>
    <row r="16" spans="5:14" ht="46.5" x14ac:dyDescent="0.35">
      <c r="E16" s="3">
        <v>14</v>
      </c>
      <c r="F16" s="3" t="s">
        <v>108</v>
      </c>
      <c r="G16" s="3" t="s">
        <v>650</v>
      </c>
      <c r="H16" s="3" t="s">
        <v>685</v>
      </c>
      <c r="I16" s="5" t="s">
        <v>31</v>
      </c>
      <c r="J16" s="5" t="str">
        <f>VLOOKUP(I16,[1]Sayfa1!$A:$C,2,0)</f>
        <v>Bakanlık Makam Talimatı (2019/66)</v>
      </c>
      <c r="K16" s="5" t="str">
        <f>VLOOKUP(I16,[1]Sayfa1!$A:$C,3,0)</f>
        <v>talimatı (2019/66)</v>
      </c>
    </row>
    <row r="17" spans="5:11" ht="46.5" x14ac:dyDescent="0.35">
      <c r="E17" s="3">
        <v>15</v>
      </c>
      <c r="F17" s="3" t="s">
        <v>108</v>
      </c>
      <c r="G17" s="3" t="s">
        <v>650</v>
      </c>
      <c r="H17" s="3" t="s">
        <v>685</v>
      </c>
      <c r="I17" s="5" t="s">
        <v>32</v>
      </c>
      <c r="J17" s="5" t="str">
        <f>VLOOKUP(I17,[1]Sayfa1!$A:$C,2,0)</f>
        <v>Bakanlık Makam Talimatı (2019/66)</v>
      </c>
      <c r="K17" s="5" t="str">
        <f>VLOOKUP(I17,[1]Sayfa1!$A:$C,3,0)</f>
        <v>talimatı (2019/66)</v>
      </c>
    </row>
    <row r="18" spans="5:11" ht="46.5" x14ac:dyDescent="0.35">
      <c r="E18" s="3">
        <v>16</v>
      </c>
      <c r="F18" s="3" t="s">
        <v>108</v>
      </c>
      <c r="G18" s="3" t="s">
        <v>650</v>
      </c>
      <c r="H18" s="3" t="s">
        <v>685</v>
      </c>
      <c r="I18" s="5" t="s">
        <v>33</v>
      </c>
      <c r="J18" s="5" t="str">
        <f>VLOOKUP(I18,[1]Sayfa1!$A:$C,2,0)</f>
        <v>Bakanlık Makam Talimatı (2019/66)</v>
      </c>
      <c r="K18" s="5" t="str">
        <f>VLOOKUP(I18,[1]Sayfa1!$A:$C,3,0)</f>
        <v>talimatı (2019/66)</v>
      </c>
    </row>
    <row r="19" spans="5:11" ht="46.5" x14ac:dyDescent="0.35">
      <c r="E19" s="3">
        <v>17</v>
      </c>
      <c r="F19" s="3" t="s">
        <v>108</v>
      </c>
      <c r="G19" s="3" t="s">
        <v>650</v>
      </c>
      <c r="H19" s="3" t="s">
        <v>685</v>
      </c>
      <c r="I19" s="5" t="s">
        <v>34</v>
      </c>
      <c r="J19" s="5" t="str">
        <f>VLOOKUP(I19,[1]Sayfa1!$A:$C,2,0)</f>
        <v>Bakanlık Makam Talimatı (2019/66)</v>
      </c>
      <c r="K19" s="5" t="str">
        <f>VLOOKUP(I19,[1]Sayfa1!$A:$C,3,0)</f>
        <v>talimatı (2019/66)</v>
      </c>
    </row>
    <row r="20" spans="5:11" ht="46.5" x14ac:dyDescent="0.35">
      <c r="E20" s="3">
        <v>18</v>
      </c>
      <c r="F20" s="3" t="s">
        <v>108</v>
      </c>
      <c r="G20" s="3" t="s">
        <v>650</v>
      </c>
      <c r="H20" s="3" t="s">
        <v>685</v>
      </c>
      <c r="I20" s="5" t="s">
        <v>35</v>
      </c>
      <c r="J20" s="5" t="str">
        <f>VLOOKUP(I20,[1]Sayfa1!$A:$C,2,0)</f>
        <v xml:space="preserve">Antrenör Çal. Usul Yön. </v>
      </c>
      <c r="K20" s="5" t="str">
        <f>VLOOKUP(I20,[1]Sayfa1!$A:$C,3,0)</f>
        <v>md. 7</v>
      </c>
    </row>
    <row r="21" spans="5:11" ht="46.5" x14ac:dyDescent="0.35">
      <c r="E21" s="3">
        <v>19</v>
      </c>
      <c r="F21" s="3" t="s">
        <v>108</v>
      </c>
      <c r="G21" s="3" t="s">
        <v>650</v>
      </c>
      <c r="H21" s="3" t="s">
        <v>685</v>
      </c>
      <c r="I21" s="5" t="s">
        <v>36</v>
      </c>
      <c r="J21" s="5" t="str">
        <f>VLOOKUP(I21,[1]Sayfa1!$A:$C,2,0)</f>
        <v>Antrenör Çal. Usul Yön.</v>
      </c>
      <c r="K21" s="5" t="str">
        <f>VLOOKUP(I21,[1]Sayfa1!$A:$C,3,0)</f>
        <v>md. 7</v>
      </c>
    </row>
    <row r="22" spans="5:11" ht="46.5" x14ac:dyDescent="0.35">
      <c r="E22" s="3">
        <v>20</v>
      </c>
      <c r="F22" s="3" t="s">
        <v>108</v>
      </c>
      <c r="G22" s="3" t="s">
        <v>650</v>
      </c>
      <c r="H22" s="3" t="s">
        <v>685</v>
      </c>
      <c r="I22" s="5" t="s">
        <v>37</v>
      </c>
      <c r="J22" s="5" t="str">
        <f>VLOOKUP(I22,[1]Sayfa1!$A:$C,2,0)</f>
        <v>Antrenör Çal. Usul Yön.</v>
      </c>
      <c r="K22" s="5" t="str">
        <f>VLOOKUP(I22,[1]Sayfa1!$A:$C,3,0)</f>
        <v>md. 12</v>
      </c>
    </row>
    <row r="23" spans="5:11" ht="46.5" x14ac:dyDescent="0.35">
      <c r="E23" s="3">
        <v>21</v>
      </c>
      <c r="F23" s="3" t="s">
        <v>108</v>
      </c>
      <c r="G23" s="3" t="s">
        <v>650</v>
      </c>
      <c r="H23" s="3" t="s">
        <v>685</v>
      </c>
      <c r="I23" s="5" t="s">
        <v>38</v>
      </c>
      <c r="J23" s="5" t="str">
        <f>VLOOKUP(I23,[1]Sayfa1!$A:$C,2,0)</f>
        <v>Antrenör Çal. Usul Yön.</v>
      </c>
      <c r="K23" s="5" t="str">
        <f>VLOOKUP(I23,[1]Sayfa1!$A:$C,3,0)</f>
        <v>md. 12</v>
      </c>
    </row>
    <row r="24" spans="5:11" ht="46.5" x14ac:dyDescent="0.35">
      <c r="E24" s="3">
        <v>22</v>
      </c>
      <c r="F24" s="3" t="s">
        <v>108</v>
      </c>
      <c r="G24" s="3" t="s">
        <v>650</v>
      </c>
      <c r="H24" s="3" t="s">
        <v>685</v>
      </c>
      <c r="I24" s="5" t="s">
        <v>39</v>
      </c>
      <c r="J24" s="5" t="str">
        <f>VLOOKUP(I24,[1]Sayfa1!$A:$C,2,0)</f>
        <v>Antrenör Çal. Usul Yön.</v>
      </c>
      <c r="K24" s="5" t="str">
        <f>VLOOKUP(I24,[1]Sayfa1!$A:$C,3,0)</f>
        <v>md. 5/1-c</v>
      </c>
    </row>
    <row r="25" spans="5:11" ht="31" x14ac:dyDescent="0.35">
      <c r="E25" s="3">
        <v>23</v>
      </c>
      <c r="F25" s="3" t="s">
        <v>108</v>
      </c>
      <c r="G25" s="3" t="s">
        <v>650</v>
      </c>
      <c r="H25" s="3" t="s">
        <v>685</v>
      </c>
      <c r="I25" s="5" t="s">
        <v>40</v>
      </c>
      <c r="J25" s="5" t="str">
        <f>VLOOKUP(I25,[1]Sayfa1!$A:$C,2,0)</f>
        <v>Antrenör Çal. Usul Yön.</v>
      </c>
      <c r="K25" s="5" t="str">
        <f>VLOOKUP(I25,[1]Sayfa1!$A:$C,3,0)</f>
        <v>md. 5/1-ç</v>
      </c>
    </row>
    <row r="26" spans="5:11" ht="62" x14ac:dyDescent="0.35">
      <c r="E26" s="3">
        <v>24</v>
      </c>
      <c r="F26" s="3" t="s">
        <v>108</v>
      </c>
      <c r="G26" s="3" t="s">
        <v>650</v>
      </c>
      <c r="H26" s="3" t="s">
        <v>685</v>
      </c>
      <c r="I26" s="5" t="s">
        <v>41</v>
      </c>
      <c r="J26" s="5" t="str">
        <f>VLOOKUP(I26,[1]Sayfa1!$A:$C,2,0)</f>
        <v>Antrenör Çal. Usul Yön.</v>
      </c>
      <c r="K26" s="5" t="str">
        <f>VLOOKUP(I26,[1]Sayfa1!$A:$C,3,0)</f>
        <v>md. 14</v>
      </c>
    </row>
    <row r="27" spans="5:11" ht="46.5" x14ac:dyDescent="0.35">
      <c r="E27" s="3">
        <v>25</v>
      </c>
      <c r="F27" s="3" t="s">
        <v>108</v>
      </c>
      <c r="G27" s="3" t="s">
        <v>650</v>
      </c>
      <c r="H27" s="3" t="s">
        <v>685</v>
      </c>
      <c r="I27" s="5" t="s">
        <v>42</v>
      </c>
      <c r="J27" s="5" t="str">
        <f>VLOOKUP(I27,[1]Sayfa1!$A:$C,2,0)</f>
        <v>Antrenör Çal. Usul Yön.</v>
      </c>
      <c r="K27" s="5" t="str">
        <f>VLOOKUP(I27,[1]Sayfa1!$A:$C,3,0)</f>
        <v>md. 14</v>
      </c>
    </row>
    <row r="28" spans="5:11" ht="46.5" x14ac:dyDescent="0.35">
      <c r="E28" s="3">
        <v>26</v>
      </c>
      <c r="F28" s="3" t="s">
        <v>108</v>
      </c>
      <c r="G28" s="3" t="s">
        <v>650</v>
      </c>
      <c r="H28" s="3" t="s">
        <v>685</v>
      </c>
      <c r="I28" s="5" t="s">
        <v>43</v>
      </c>
      <c r="J28" s="5" t="str">
        <f>VLOOKUP(I28,[1]Sayfa1!$A:$C,2,0)</f>
        <v>Antrenör Çal. Usul Yön.</v>
      </c>
      <c r="K28" s="5" t="str">
        <f>VLOOKUP(I28,[1]Sayfa1!$A:$C,3,0)</f>
        <v>md. 14</v>
      </c>
    </row>
    <row r="29" spans="5:11" ht="46.5" x14ac:dyDescent="0.35">
      <c r="E29" s="3">
        <v>27</v>
      </c>
      <c r="F29" s="3" t="s">
        <v>108</v>
      </c>
      <c r="G29" s="3" t="s">
        <v>650</v>
      </c>
      <c r="H29" s="3" t="s">
        <v>685</v>
      </c>
      <c r="I29" s="5" t="s">
        <v>44</v>
      </c>
      <c r="J29" s="5" t="str">
        <f>VLOOKUP(I29,[1]Sayfa1!$A:$C,2,0)</f>
        <v>Antrenör Çal. Usul Yön.</v>
      </c>
      <c r="K29" s="5" t="str">
        <f>VLOOKUP(I29,[1]Sayfa1!$A:$C,3,0)</f>
        <v>md. 14</v>
      </c>
    </row>
    <row r="30" spans="5:11" ht="31" x14ac:dyDescent="0.35">
      <c r="E30" s="3">
        <v>28</v>
      </c>
      <c r="F30" s="3" t="s">
        <v>108</v>
      </c>
      <c r="G30" s="3" t="s">
        <v>650</v>
      </c>
      <c r="H30" s="3" t="s">
        <v>686</v>
      </c>
      <c r="I30" s="5" t="s">
        <v>45</v>
      </c>
      <c r="J30" s="5" t="str">
        <f>VLOOKUP(I30,[1]Sayfa1!$A:$C,2,0)</f>
        <v>İl Spor Dalı Tems. Yön.</v>
      </c>
      <c r="K30" s="5" t="str">
        <f>VLOOKUP(I30,[1]Sayfa1!$A:$C,3,0)</f>
        <v>md. 8</v>
      </c>
    </row>
    <row r="31" spans="5:11" ht="46.5" x14ac:dyDescent="0.35">
      <c r="E31" s="3">
        <v>29</v>
      </c>
      <c r="F31" s="3" t="s">
        <v>108</v>
      </c>
      <c r="G31" s="3" t="s">
        <v>650</v>
      </c>
      <c r="H31" s="3" t="s">
        <v>686</v>
      </c>
      <c r="I31" s="5" t="s">
        <v>46</v>
      </c>
      <c r="J31" s="5" t="str">
        <f>VLOOKUP(I31,[1]Sayfa1!$A:$C,2,0)</f>
        <v>İl Spor Dalı Tems. Yön.</v>
      </c>
      <c r="K31" s="5" t="str">
        <f>VLOOKUP(I31,[1]Sayfa1!$A:$C,3,0)</f>
        <v>md. 6</v>
      </c>
    </row>
    <row r="32" spans="5:11" ht="46.5" x14ac:dyDescent="0.35">
      <c r="E32" s="3">
        <v>30</v>
      </c>
      <c r="F32" s="3" t="s">
        <v>108</v>
      </c>
      <c r="G32" s="3" t="s">
        <v>650</v>
      </c>
      <c r="H32" s="3" t="s">
        <v>687</v>
      </c>
      <c r="I32" s="5" t="s">
        <v>47</v>
      </c>
      <c r="J32" s="5" t="str">
        <f>VLOOKUP(I32,[1]Sayfa1!$A:$C,2,0)</f>
        <v>Spor Kulüpleri Yön.</v>
      </c>
      <c r="K32" s="5" t="str">
        <f>VLOOKUP(I32,[1]Sayfa1!$A:$C,3,0)</f>
        <v>md. 34-37</v>
      </c>
    </row>
    <row r="33" spans="5:11" ht="46.5" x14ac:dyDescent="0.35">
      <c r="E33" s="3">
        <v>31</v>
      </c>
      <c r="F33" s="3" t="s">
        <v>108</v>
      </c>
      <c r="G33" s="3" t="s">
        <v>650</v>
      </c>
      <c r="H33" s="3" t="s">
        <v>687</v>
      </c>
      <c r="I33" s="5" t="s">
        <v>48</v>
      </c>
      <c r="J33" s="5" t="str">
        <f>VLOOKUP(I33,[1]Sayfa1!$A:$C,2,0)</f>
        <v>Spor Kulüpleri Yön.</v>
      </c>
      <c r="K33" s="5" t="str">
        <f>VLOOKUP(I33,[1]Sayfa1!$A:$C,3,0)</f>
        <v>md. 37</v>
      </c>
    </row>
    <row r="34" spans="5:11" ht="46.5" x14ac:dyDescent="0.35">
      <c r="E34" s="3">
        <v>32</v>
      </c>
      <c r="F34" s="3" t="s">
        <v>108</v>
      </c>
      <c r="G34" s="3" t="s">
        <v>650</v>
      </c>
      <c r="H34" s="3" t="s">
        <v>687</v>
      </c>
      <c r="I34" s="5" t="s">
        <v>49</v>
      </c>
      <c r="J34" s="5" t="str">
        <f>VLOOKUP(I34,[1]Sayfa1!$A:$C,2,0)</f>
        <v>GSB Taşra Teşkilatı Yön.</v>
      </c>
      <c r="K34" s="5" t="str">
        <f>VLOOKUP(I34,[1]Sayfa1!$A:$C,3,0)</f>
        <v>md. 17</v>
      </c>
    </row>
    <row r="35" spans="5:11" ht="46.5" x14ac:dyDescent="0.35">
      <c r="E35" s="3">
        <v>33</v>
      </c>
      <c r="F35" s="3" t="s">
        <v>108</v>
      </c>
      <c r="G35" s="3" t="s">
        <v>650</v>
      </c>
      <c r="H35" s="3" t="s">
        <v>687</v>
      </c>
      <c r="I35" s="5" t="s">
        <v>50</v>
      </c>
      <c r="J35" s="5" t="str">
        <f>VLOOKUP(I35,[1]Sayfa1!$A:$C,2,0)</f>
        <v>Spor Kulüpleri Yön.</v>
      </c>
      <c r="K35" s="5" t="str">
        <f>VLOOKUP(I35,[1]Sayfa1!$A:$C,3,0)</f>
        <v>md. 36</v>
      </c>
    </row>
    <row r="36" spans="5:11" ht="31" x14ac:dyDescent="0.35">
      <c r="E36" s="3">
        <v>34</v>
      </c>
      <c r="F36" s="3" t="s">
        <v>108</v>
      </c>
      <c r="G36" s="3" t="s">
        <v>650</v>
      </c>
      <c r="H36" s="3" t="s">
        <v>687</v>
      </c>
      <c r="I36" s="5" t="s">
        <v>51</v>
      </c>
      <c r="J36" s="5" t="str">
        <f>VLOOKUP(I36,[1]Sayfa1!$A:$C,2,0)</f>
        <v>Spor Kulüpleri Yön.</v>
      </c>
      <c r="K36" s="5" t="str">
        <f>VLOOKUP(I36,[1]Sayfa1!$A:$C,3,0)</f>
        <v>md. 35</v>
      </c>
    </row>
    <row r="37" spans="5:11" ht="46.5" x14ac:dyDescent="0.35">
      <c r="E37" s="3">
        <v>35</v>
      </c>
      <c r="F37" s="3" t="s">
        <v>108</v>
      </c>
      <c r="G37" s="3" t="s">
        <v>650</v>
      </c>
      <c r="H37" s="3" t="s">
        <v>663</v>
      </c>
      <c r="I37" s="5" t="s">
        <v>52</v>
      </c>
      <c r="J37" s="5" t="str">
        <f>VLOOKUP(I37,[1]Sayfa1!$A:$C,2,0)</f>
        <v>Spor Kulüpleri Yön.</v>
      </c>
      <c r="K37" s="5" t="str">
        <f>VLOOKUP(I37,[1]Sayfa1!$A:$C,3,0)</f>
        <v>md. 33</v>
      </c>
    </row>
    <row r="38" spans="5:11" ht="46.5" x14ac:dyDescent="0.35">
      <c r="E38" s="3">
        <v>36</v>
      </c>
      <c r="F38" s="3" t="s">
        <v>108</v>
      </c>
      <c r="G38" s="3" t="s">
        <v>650</v>
      </c>
      <c r="H38" s="3" t="s">
        <v>663</v>
      </c>
      <c r="I38" s="5" t="s">
        <v>53</v>
      </c>
      <c r="J38" s="5" t="str">
        <f>VLOOKUP(I38,[1]Sayfa1!$A:$C,2,0)</f>
        <v>Spor Kulüpleri Yön.</v>
      </c>
      <c r="K38" s="5" t="str">
        <f>VLOOKUP(I38,[1]Sayfa1!$A:$C,3,0)</f>
        <v>md. 33</v>
      </c>
    </row>
    <row r="39" spans="5:11" ht="46.5" x14ac:dyDescent="0.35">
      <c r="E39" s="3">
        <v>37</v>
      </c>
      <c r="F39" s="3" t="s">
        <v>108</v>
      </c>
      <c r="G39" s="3" t="s">
        <v>650</v>
      </c>
      <c r="H39" s="3" t="s">
        <v>687</v>
      </c>
      <c r="I39" s="5" t="s">
        <v>54</v>
      </c>
      <c r="J39" s="5" t="str">
        <f>VLOOKUP(I39,[1]Sayfa1!$A:$C,2,0)</f>
        <v>Spor Kulüpleri Yön.</v>
      </c>
      <c r="K39" s="5" t="str">
        <f>VLOOKUP(I39,[1]Sayfa1!$A:$C,3,0)</f>
        <v>md. 36</v>
      </c>
    </row>
    <row r="40" spans="5:11" ht="46.5" x14ac:dyDescent="0.35">
      <c r="E40" s="3">
        <v>38</v>
      </c>
      <c r="F40" s="3" t="s">
        <v>108</v>
      </c>
      <c r="G40" s="3" t="s">
        <v>650</v>
      </c>
      <c r="H40" s="3" t="s">
        <v>686</v>
      </c>
      <c r="I40" s="5" t="s">
        <v>55</v>
      </c>
      <c r="J40" s="5" t="str">
        <f>VLOOKUP(I40,[1]Sayfa1!$A:$C,2,0)</f>
        <v>İl Spor Dalı Tems. Yön.</v>
      </c>
      <c r="K40" s="5" t="str">
        <f>VLOOKUP(I40,[1]Sayfa1!$A:$C,3,0)</f>
        <v>md. 8</v>
      </c>
    </row>
    <row r="41" spans="5:11" ht="46.5" x14ac:dyDescent="0.35">
      <c r="E41" s="3">
        <v>39</v>
      </c>
      <c r="F41" s="3" t="s">
        <v>108</v>
      </c>
      <c r="G41" s="3" t="s">
        <v>650</v>
      </c>
      <c r="H41" s="3" t="s">
        <v>663</v>
      </c>
      <c r="I41" s="5" t="s">
        <v>56</v>
      </c>
      <c r="J41" s="5" t="str">
        <f>VLOOKUP(I41,[1]Sayfa1!$A:$C,2,0)</f>
        <v>Spor Kulüpleri Yön.</v>
      </c>
      <c r="K41" s="5" t="str">
        <f>VLOOKUP(I41,[1]Sayfa1!$A:$C,3,0)</f>
        <v>md. 33</v>
      </c>
    </row>
    <row r="42" spans="5:11" ht="46.5" x14ac:dyDescent="0.35">
      <c r="E42" s="3">
        <v>40</v>
      </c>
      <c r="F42" s="3" t="s">
        <v>108</v>
      </c>
      <c r="G42" s="3" t="s">
        <v>650</v>
      </c>
      <c r="H42" s="3" t="s">
        <v>687</v>
      </c>
      <c r="I42" s="5" t="s">
        <v>57</v>
      </c>
      <c r="J42" s="5" t="str">
        <f>VLOOKUP(I42,[1]Sayfa1!$A:$C,2,0)</f>
        <v>Spor Kulüpleri Yön.</v>
      </c>
      <c r="K42" s="5" t="str">
        <f>VLOOKUP(I42,[1]Sayfa1!$A:$C,3,0)</f>
        <v>md. 37</v>
      </c>
    </row>
    <row r="43" spans="5:11" ht="46.5" x14ac:dyDescent="0.35">
      <c r="E43" s="3">
        <v>41</v>
      </c>
      <c r="F43" s="3" t="s">
        <v>108</v>
      </c>
      <c r="G43" s="3" t="s">
        <v>650</v>
      </c>
      <c r="H43" s="3" t="s">
        <v>688</v>
      </c>
      <c r="I43" s="5" t="s">
        <v>58</v>
      </c>
      <c r="J43" s="5">
        <f>VLOOKUP(I43,[1]Sayfa1!$A:$C,2,0)</f>
        <v>0</v>
      </c>
      <c r="K43" s="5">
        <f>VLOOKUP(I43,[1]Sayfa1!$A:$C,3,0)</f>
        <v>0</v>
      </c>
    </row>
    <row r="44" spans="5:11" ht="46.5" x14ac:dyDescent="0.35">
      <c r="E44" s="3">
        <v>42</v>
      </c>
      <c r="F44" s="3" t="s">
        <v>108</v>
      </c>
      <c r="G44" s="3" t="s">
        <v>650</v>
      </c>
      <c r="H44" s="3" t="s">
        <v>686</v>
      </c>
      <c r="I44" s="5" t="s">
        <v>59</v>
      </c>
      <c r="J44" s="5" t="str">
        <f>VLOOKUP(I44,[1]Sayfa1!$A:$C,2,0)</f>
        <v>İl Spor Dalı Tems.</v>
      </c>
      <c r="K44" s="5" t="str">
        <f>VLOOKUP(I44,[1]Sayfa1!$A:$C,3,0)</f>
        <v>yön.</v>
      </c>
    </row>
    <row r="45" spans="5:11" ht="46.5" x14ac:dyDescent="0.35">
      <c r="E45" s="3">
        <v>43</v>
      </c>
      <c r="F45" s="3" t="s">
        <v>108</v>
      </c>
      <c r="G45" s="3" t="s">
        <v>650</v>
      </c>
      <c r="H45" s="3" t="s">
        <v>689</v>
      </c>
      <c r="I45" s="5" t="s">
        <v>60</v>
      </c>
      <c r="J45" s="5">
        <f>VLOOKUP(I45,[1]Sayfa1!$A:$C,2,0)</f>
        <v>0</v>
      </c>
      <c r="K45" s="5" t="str">
        <f>VLOOKUP(I45,[1]Sayfa1!$A:$C,3,0)</f>
        <v>yön.</v>
      </c>
    </row>
    <row r="46" spans="5:11" ht="46.5" x14ac:dyDescent="0.35">
      <c r="E46" s="3">
        <v>44</v>
      </c>
      <c r="F46" s="3" t="s">
        <v>108</v>
      </c>
      <c r="G46" s="3" t="s">
        <v>650</v>
      </c>
      <c r="H46" s="3" t="s">
        <v>690</v>
      </c>
      <c r="I46" s="5" t="s">
        <v>61</v>
      </c>
      <c r="J46" s="5" t="str">
        <f>VLOOKUP(I46,[1]Sayfa1!$A:$C,2,0)</f>
        <v>Spor Faal.</v>
      </c>
      <c r="K46" s="5" t="str">
        <f>VLOOKUP(I46,[1]Sayfa1!$A:$C,3,0)</f>
        <v>seyahat yönergesi md. 7</v>
      </c>
    </row>
    <row r="47" spans="5:11" ht="46.5" x14ac:dyDescent="0.35">
      <c r="E47" s="3">
        <v>45</v>
      </c>
      <c r="F47" s="3" t="s">
        <v>108</v>
      </c>
      <c r="G47" s="3" t="s">
        <v>650</v>
      </c>
      <c r="H47" s="3" t="s">
        <v>690</v>
      </c>
      <c r="I47" s="5" t="s">
        <v>62</v>
      </c>
      <c r="J47" s="5" t="str">
        <f>VLOOKUP(I47,[1]Sayfa1!$A:$C,2,0)</f>
        <v>Spor Faal.</v>
      </c>
      <c r="K47" s="5" t="str">
        <f>VLOOKUP(I47,[1]Sayfa1!$A:$C,3,0)</f>
        <v>seyahat yönergesi md. 7</v>
      </c>
    </row>
    <row r="48" spans="5:11" ht="46.5" x14ac:dyDescent="0.35">
      <c r="E48" s="3">
        <v>46</v>
      </c>
      <c r="F48" s="3" t="s">
        <v>108</v>
      </c>
      <c r="G48" s="3" t="s">
        <v>650</v>
      </c>
      <c r="H48" s="3" t="s">
        <v>690</v>
      </c>
      <c r="I48" s="5" t="s">
        <v>63</v>
      </c>
      <c r="J48" s="5" t="str">
        <f>VLOOKUP(I48,[1]Sayfa1!$A:$C,2,0)</f>
        <v>Merkezi Yönetim Harcama Bel</v>
      </c>
      <c r="K48" s="5" t="str">
        <f>VLOOKUP(I48,[1]Sayfa1!$A:$C,3,0)</f>
        <v>yön</v>
      </c>
    </row>
    <row r="49" spans="5:11" ht="46.5" x14ac:dyDescent="0.35">
      <c r="E49" s="3">
        <v>47</v>
      </c>
      <c r="F49" s="3" t="s">
        <v>108</v>
      </c>
      <c r="G49" s="3" t="s">
        <v>650</v>
      </c>
      <c r="H49" s="3" t="s">
        <v>690</v>
      </c>
      <c r="I49" s="5" t="s">
        <v>64</v>
      </c>
      <c r="J49" s="5" t="str">
        <f>VLOOKUP(I49,[1]Sayfa1!$A:$C,2,0)</f>
        <v>Spor Faal.</v>
      </c>
      <c r="K49" s="5" t="str">
        <f>VLOOKUP(I49,[1]Sayfa1!$A:$C,3,0)</f>
        <v>seyahat yönergesi md. 7</v>
      </c>
    </row>
    <row r="50" spans="5:11" ht="46.5" x14ac:dyDescent="0.35">
      <c r="E50" s="3">
        <v>48</v>
      </c>
      <c r="F50" s="3" t="s">
        <v>108</v>
      </c>
      <c r="G50" s="3" t="s">
        <v>650</v>
      </c>
      <c r="H50" s="3" t="s">
        <v>690</v>
      </c>
      <c r="I50" s="5" t="s">
        <v>65</v>
      </c>
      <c r="J50" s="5" t="str">
        <f>VLOOKUP(I50,[1]Sayfa1!$A:$C,2,0)</f>
        <v>Spor Faal.</v>
      </c>
      <c r="K50" s="5" t="str">
        <f>VLOOKUP(I50,[1]Sayfa1!$A:$C,3,0)</f>
        <v>seyahat yönergesi md. 8</v>
      </c>
    </row>
    <row r="51" spans="5:11" ht="46.5" x14ac:dyDescent="0.35">
      <c r="E51" s="3">
        <v>49</v>
      </c>
      <c r="F51" s="3" t="s">
        <v>108</v>
      </c>
      <c r="G51" s="3" t="s">
        <v>650</v>
      </c>
      <c r="H51" s="3" t="s">
        <v>690</v>
      </c>
      <c r="I51" s="5" t="s">
        <v>66</v>
      </c>
      <c r="J51" s="5" t="str">
        <f>VLOOKUP(I51,[1]Sayfa1!$A:$C,2,0)</f>
        <v>Spor Faal.</v>
      </c>
      <c r="K51" s="5" t="str">
        <f>VLOOKUP(I51,[1]Sayfa1!$A:$C,3,0)</f>
        <v>seyahat yönergesi md. 9</v>
      </c>
    </row>
    <row r="52" spans="5:11" ht="31" x14ac:dyDescent="0.35">
      <c r="E52" s="3">
        <v>50</v>
      </c>
      <c r="F52" s="3" t="s">
        <v>108</v>
      </c>
      <c r="G52" s="3" t="s">
        <v>650</v>
      </c>
      <c r="H52" s="3" t="s">
        <v>690</v>
      </c>
      <c r="I52" s="5" t="s">
        <v>67</v>
      </c>
      <c r="J52" s="5" t="str">
        <f>VLOOKUP(I52,[1]Sayfa1!$A:$C,2,0)</f>
        <v>Spor Faal.</v>
      </c>
      <c r="K52" s="5" t="str">
        <f>VLOOKUP(I52,[1]Sayfa1!$A:$C,3,0)</f>
        <v>seyahat yönergesi md. 9</v>
      </c>
    </row>
    <row r="53" spans="5:11" ht="46.5" x14ac:dyDescent="0.35">
      <c r="E53" s="3">
        <v>51</v>
      </c>
      <c r="F53" s="3" t="s">
        <v>108</v>
      </c>
      <c r="G53" s="3" t="s">
        <v>650</v>
      </c>
      <c r="H53" s="3" t="s">
        <v>691</v>
      </c>
      <c r="I53" s="5" t="s">
        <v>68</v>
      </c>
      <c r="J53" s="5">
        <f>VLOOKUP(I53,[1]Sayfa1!$A:$C,2,0)</f>
        <v>0</v>
      </c>
      <c r="K53" s="5" t="str">
        <f>VLOOKUP(I53,[1]Sayfa1!$A:$C,3,0)</f>
        <v>yön</v>
      </c>
    </row>
    <row r="54" spans="5:11" ht="46.5" x14ac:dyDescent="0.35">
      <c r="E54" s="3">
        <v>52</v>
      </c>
      <c r="F54" s="3" t="s">
        <v>108</v>
      </c>
      <c r="G54" s="3" t="s">
        <v>650</v>
      </c>
      <c r="H54" s="3" t="s">
        <v>690</v>
      </c>
      <c r="I54" s="5" t="s">
        <v>69</v>
      </c>
      <c r="J54" s="5" t="str">
        <f>VLOOKUP(I54,[1]Sayfa1!$A:$C,2,0)</f>
        <v>Spor Faal.</v>
      </c>
      <c r="K54" s="5" t="str">
        <f>VLOOKUP(I54,[1]Sayfa1!$A:$C,3,0)</f>
        <v>seyahat yönergesi md. 7</v>
      </c>
    </row>
    <row r="55" spans="5:11" ht="46.5" x14ac:dyDescent="0.35">
      <c r="E55" s="3">
        <v>53</v>
      </c>
      <c r="F55" s="3" t="s">
        <v>108</v>
      </c>
      <c r="G55" s="3" t="s">
        <v>650</v>
      </c>
      <c r="H55" s="3" t="s">
        <v>690</v>
      </c>
      <c r="I55" s="5" t="s">
        <v>70</v>
      </c>
      <c r="J55" s="5" t="str">
        <f>VLOOKUP(I55,[1]Sayfa1!$A:$C,2,0)</f>
        <v>Spor Faal.</v>
      </c>
      <c r="K55" s="5" t="str">
        <f>VLOOKUP(I55,[1]Sayfa1!$A:$C,3,0)</f>
        <v>seyahat yön. ek-1/a</v>
      </c>
    </row>
    <row r="56" spans="5:11" ht="46.5" x14ac:dyDescent="0.35">
      <c r="E56" s="3">
        <v>54</v>
      </c>
      <c r="F56" s="3" t="s">
        <v>108</v>
      </c>
      <c r="G56" s="3" t="s">
        <v>650</v>
      </c>
      <c r="H56" s="3" t="s">
        <v>692</v>
      </c>
      <c r="I56" s="5" t="s">
        <v>71</v>
      </c>
      <c r="J56" s="5" t="str">
        <f>VLOOKUP(I56,[1]Sayfa1!$A:$C,2,0)</f>
        <v>2011/2863 BKK Esaslar</v>
      </c>
      <c r="K56" s="5" t="str">
        <f>VLOOKUP(I56,[1]Sayfa1!$A:$C,3,0)</f>
        <v>md. 5</v>
      </c>
    </row>
    <row r="57" spans="5:11" ht="46.5" x14ac:dyDescent="0.35">
      <c r="E57" s="3">
        <v>55</v>
      </c>
      <c r="F57" s="3" t="s">
        <v>108</v>
      </c>
      <c r="G57" s="3" t="s">
        <v>650</v>
      </c>
      <c r="H57" s="3" t="s">
        <v>692</v>
      </c>
      <c r="I57" s="5" t="s">
        <v>72</v>
      </c>
      <c r="J57" s="5" t="str">
        <f>VLOOKUP(I57,[1]Sayfa1!$A:$C,2,0)</f>
        <v>2011/2863 BKK Esaslar</v>
      </c>
      <c r="K57" s="5" t="str">
        <f>VLOOKUP(I57,[1]Sayfa1!$A:$C,3,0)</f>
        <v>md. 5</v>
      </c>
    </row>
    <row r="58" spans="5:11" ht="46.5" x14ac:dyDescent="0.35">
      <c r="E58" s="3">
        <v>56</v>
      </c>
      <c r="F58" s="3" t="s">
        <v>108</v>
      </c>
      <c r="G58" s="3" t="s">
        <v>650</v>
      </c>
      <c r="H58" s="3" t="s">
        <v>692</v>
      </c>
      <c r="I58" s="5" t="s">
        <v>73</v>
      </c>
      <c r="J58" s="5" t="str">
        <f>VLOOKUP(I58,[1]Sayfa1!$A:$C,2,0)</f>
        <v>2011/2863 BKK Esaslar Tablo</v>
      </c>
      <c r="K58" s="5" t="str">
        <f>VLOOKUP(I58,[1]Sayfa1!$A:$C,3,0)</f>
        <v>tablo 2,3,4</v>
      </c>
    </row>
    <row r="59" spans="5:11" ht="31" x14ac:dyDescent="0.35">
      <c r="E59" s="3">
        <v>57</v>
      </c>
      <c r="F59" s="3" t="s">
        <v>108</v>
      </c>
      <c r="G59" s="3" t="s">
        <v>650</v>
      </c>
      <c r="H59" s="3" t="s">
        <v>692</v>
      </c>
      <c r="I59" s="5" t="s">
        <v>74</v>
      </c>
      <c r="J59" s="5">
        <f>VLOOKUP(I59,[1]Sayfa1!$A:$C,2,0)</f>
        <v>0</v>
      </c>
      <c r="K59" s="5" t="str">
        <f>VLOOKUP(I59,[1]Sayfa1!$A:$C,3,0)</f>
        <v>esaslar</v>
      </c>
    </row>
    <row r="60" spans="5:11" ht="46.5" x14ac:dyDescent="0.35">
      <c r="E60" s="3">
        <v>58</v>
      </c>
      <c r="F60" s="3" t="s">
        <v>108</v>
      </c>
      <c r="G60" s="3" t="s">
        <v>650</v>
      </c>
      <c r="H60" s="3" t="s">
        <v>692</v>
      </c>
      <c r="I60" s="5" t="s">
        <v>75</v>
      </c>
      <c r="J60" s="5" t="str">
        <f>VLOOKUP(I60,[1]Sayfa1!$A:$C,2,0)</f>
        <v>2011/2863 BKK Esaslar</v>
      </c>
      <c r="K60" s="5" t="str">
        <f>VLOOKUP(I60,[1]Sayfa1!$A:$C,3,0)</f>
        <v>md. 5</v>
      </c>
    </row>
    <row r="61" spans="5:11" ht="46.5" x14ac:dyDescent="0.35">
      <c r="E61" s="3">
        <v>59</v>
      </c>
      <c r="F61" s="3" t="s">
        <v>108</v>
      </c>
      <c r="G61" s="3" t="s">
        <v>650</v>
      </c>
      <c r="H61" s="3" t="s">
        <v>692</v>
      </c>
      <c r="I61" s="5" t="s">
        <v>76</v>
      </c>
      <c r="J61" s="5">
        <f>VLOOKUP(I61,[1]Sayfa1!$A:$C,2,0)</f>
        <v>0</v>
      </c>
      <c r="K61" s="5" t="str">
        <f>VLOOKUP(I61,[1]Sayfa1!$A:$C,3,0)</f>
        <v>esaslar</v>
      </c>
    </row>
    <row r="62" spans="5:11" ht="46.5" x14ac:dyDescent="0.35">
      <c r="E62" s="3">
        <v>60</v>
      </c>
      <c r="F62" s="3" t="s">
        <v>108</v>
      </c>
      <c r="G62" s="3" t="s">
        <v>650</v>
      </c>
      <c r="H62" s="3" t="s">
        <v>692</v>
      </c>
      <c r="I62" s="5" t="s">
        <v>77</v>
      </c>
      <c r="J62" s="5">
        <f>VLOOKUP(I62,[1]Sayfa1!$A:$C,2,0)</f>
        <v>0</v>
      </c>
      <c r="K62" s="5" t="str">
        <f>VLOOKUP(I62,[1]Sayfa1!$A:$C,3,0)</f>
        <v>talimatı</v>
      </c>
    </row>
    <row r="63" spans="5:11" ht="46.5" x14ac:dyDescent="0.35">
      <c r="E63" s="3">
        <v>61</v>
      </c>
      <c r="F63" s="3" t="s">
        <v>108</v>
      </c>
      <c r="G63" s="3" t="s">
        <v>650</v>
      </c>
      <c r="H63" s="3" t="s">
        <v>692</v>
      </c>
      <c r="I63" s="5" t="s">
        <v>78</v>
      </c>
      <c r="J63" s="5">
        <f>VLOOKUP(I63,[1]Sayfa1!$A:$C,2,0)</f>
        <v>0</v>
      </c>
      <c r="K63" s="5">
        <f>VLOOKUP(I63,[1]Sayfa1!$A:$C,3,0)</f>
        <v>0</v>
      </c>
    </row>
    <row r="64" spans="5:11" ht="46.5" x14ac:dyDescent="0.35">
      <c r="E64" s="3">
        <v>62</v>
      </c>
      <c r="F64" s="3" t="s">
        <v>108</v>
      </c>
      <c r="G64" s="3" t="s">
        <v>650</v>
      </c>
      <c r="H64" s="3" t="s">
        <v>692</v>
      </c>
      <c r="I64" s="5" t="s">
        <v>79</v>
      </c>
      <c r="J64" s="5">
        <f>VLOOKUP(I64,[1]Sayfa1!$A:$C,2,0)</f>
        <v>0</v>
      </c>
      <c r="K64" s="5">
        <f>VLOOKUP(I64,[1]Sayfa1!$A:$C,3,0)</f>
        <v>0</v>
      </c>
    </row>
    <row r="65" spans="5:11" ht="46.5" x14ac:dyDescent="0.35">
      <c r="E65" s="3">
        <v>63</v>
      </c>
      <c r="F65" s="3" t="s">
        <v>108</v>
      </c>
      <c r="G65" s="3" t="s">
        <v>650</v>
      </c>
      <c r="H65" s="3" t="s">
        <v>692</v>
      </c>
      <c r="I65" s="11" t="s">
        <v>80</v>
      </c>
      <c r="J65" s="5">
        <f>VLOOKUP(I65,[1]Sayfa1!$A:$C,2,0)</f>
        <v>0</v>
      </c>
      <c r="K65" s="5" t="str">
        <f>VLOOKUP(I65,[1]Sayfa1!$A:$C,3,0)</f>
        <v>esaslar</v>
      </c>
    </row>
    <row r="66" spans="5:11" ht="46.5" x14ac:dyDescent="0.35">
      <c r="E66" s="3">
        <v>64</v>
      </c>
      <c r="F66" s="3" t="s">
        <v>108</v>
      </c>
      <c r="G66" s="3" t="s">
        <v>650</v>
      </c>
      <c r="H66" s="3" t="s">
        <v>692</v>
      </c>
      <c r="I66" s="10" t="s">
        <v>81</v>
      </c>
      <c r="J66" s="5">
        <f>VLOOKUP(I66,[1]Sayfa1!$A:$C,2,0)</f>
        <v>0</v>
      </c>
      <c r="K66" s="5" t="str">
        <f>VLOOKUP(I66,[1]Sayfa1!$A:$C,3,0)</f>
        <v>esaslar</v>
      </c>
    </row>
    <row r="67" spans="5:11" ht="46.5" x14ac:dyDescent="0.35">
      <c r="E67" s="3">
        <v>65</v>
      </c>
      <c r="F67" s="3" t="s">
        <v>108</v>
      </c>
      <c r="G67" s="3" t="s">
        <v>650</v>
      </c>
      <c r="H67" s="3" t="s">
        <v>692</v>
      </c>
      <c r="I67" s="10" t="s">
        <v>82</v>
      </c>
      <c r="J67" s="5" t="str">
        <f>VLOOKUP(I67,[1]Sayfa1!$A:$C,2,0)</f>
        <v xml:space="preserve">2001/2863 BKK Esaslar </v>
      </c>
      <c r="K67" s="5" t="str">
        <f>VLOOKUP(I67,[1]Sayfa1!$A:$C,3,0)</f>
        <v>md. 12</v>
      </c>
    </row>
    <row r="68" spans="5:11" ht="46.5" x14ac:dyDescent="0.35">
      <c r="E68" s="3">
        <v>66</v>
      </c>
      <c r="F68" s="3" t="s">
        <v>108</v>
      </c>
      <c r="G68" s="3" t="s">
        <v>650</v>
      </c>
      <c r="H68" s="3" t="s">
        <v>692</v>
      </c>
      <c r="I68" s="10" t="s">
        <v>83</v>
      </c>
      <c r="J68" s="5" t="str">
        <f>VLOOKUP(I68,[1]Sayfa1!$A:$C,2,0)</f>
        <v xml:space="preserve">2011/2863 BKK Esaslar </v>
      </c>
      <c r="K68" s="5" t="str">
        <f>VLOOKUP(I68,[1]Sayfa1!$A:$C,3,0)</f>
        <v>md. 12</v>
      </c>
    </row>
    <row r="69" spans="5:11" ht="46.5" x14ac:dyDescent="0.35">
      <c r="E69" s="3">
        <v>67</v>
      </c>
      <c r="F69" s="3" t="s">
        <v>108</v>
      </c>
      <c r="G69" s="3" t="s">
        <v>650</v>
      </c>
      <c r="H69" s="3" t="s">
        <v>692</v>
      </c>
      <c r="I69" s="5" t="s">
        <v>84</v>
      </c>
      <c r="J69" s="5" t="str">
        <f>VLOOKUP(I69,[1]Sayfa1!$A:$C,2,0)</f>
        <v>7/15754 Sayılı BKK</v>
      </c>
      <c r="K69" s="5" t="str">
        <f>VLOOKUP(I69,[1]Sayfa1!$A:$C,3,0)</f>
        <v>md. 3</v>
      </c>
    </row>
    <row r="70" spans="5:11" ht="46.5" x14ac:dyDescent="0.35">
      <c r="E70" s="3">
        <v>68</v>
      </c>
      <c r="F70" s="3" t="s">
        <v>108</v>
      </c>
      <c r="G70" s="3" t="s">
        <v>650</v>
      </c>
      <c r="H70" s="3" t="s">
        <v>692</v>
      </c>
      <c r="I70" s="5" t="s">
        <v>85</v>
      </c>
      <c r="J70" s="5">
        <f>VLOOKUP(I70,[1]Sayfa1!$A:$C,2,0)</f>
        <v>0</v>
      </c>
      <c r="K70" s="5">
        <f>VLOOKUP(I70,[1]Sayfa1!$A:$C,3,0)</f>
        <v>0</v>
      </c>
    </row>
    <row r="71" spans="5:11" ht="46.5" x14ac:dyDescent="0.35">
      <c r="E71" s="3">
        <v>69</v>
      </c>
      <c r="F71" s="3" t="s">
        <v>108</v>
      </c>
      <c r="G71" s="3" t="s">
        <v>650</v>
      </c>
      <c r="H71" s="3" t="s">
        <v>692</v>
      </c>
      <c r="I71" s="5" t="s">
        <v>86</v>
      </c>
      <c r="J71" s="5" t="str">
        <f>VLOOKUP(I71,[1]Sayfa1!$A:$C,2,0)</f>
        <v>Resmi Yazışma Usul ve Esas.</v>
      </c>
      <c r="K71" s="5" t="str">
        <f>VLOOKUP(I71,[1]Sayfa1!$A:$C,3,0)</f>
        <v>yön.</v>
      </c>
    </row>
    <row r="72" spans="5:11" ht="46.5" x14ac:dyDescent="0.35">
      <c r="E72" s="3">
        <v>70</v>
      </c>
      <c r="F72" s="3" t="s">
        <v>108</v>
      </c>
      <c r="G72" s="3" t="s">
        <v>650</v>
      </c>
      <c r="H72" s="3" t="s">
        <v>692</v>
      </c>
      <c r="I72" s="5" t="s">
        <v>87</v>
      </c>
      <c r="J72" s="5" t="str">
        <f>VLOOKUP(I72,[1]Sayfa1!$A:$C,2,0)</f>
        <v>Merkezi Yönetim Harcama Belg.</v>
      </c>
      <c r="K72" s="5" t="str">
        <f>VLOOKUP(I72,[1]Sayfa1!$A:$C,3,0)</f>
        <v>yön.</v>
      </c>
    </row>
    <row r="73" spans="5:11" ht="46.5" x14ac:dyDescent="0.35">
      <c r="E73" s="3">
        <v>71</v>
      </c>
      <c r="F73" s="3" t="s">
        <v>108</v>
      </c>
      <c r="G73" s="3" t="s">
        <v>650</v>
      </c>
      <c r="H73" s="3" t="s">
        <v>692</v>
      </c>
      <c r="I73" s="5" t="s">
        <v>88</v>
      </c>
      <c r="J73" s="5" t="str">
        <f>VLOOKUP(I73,[1]Sayfa1!$A:$C,2,0)</f>
        <v>2001/2863 BKK Esaslar</v>
      </c>
      <c r="K73" s="5" t="str">
        <f>VLOOKUP(I73,[1]Sayfa1!$A:$C,3,0)</f>
        <v>md. 2</v>
      </c>
    </row>
    <row r="74" spans="5:11" ht="46.5" x14ac:dyDescent="0.35">
      <c r="E74" s="3">
        <v>72</v>
      </c>
      <c r="F74" s="3" t="s">
        <v>108</v>
      </c>
      <c r="G74" s="3" t="s">
        <v>650</v>
      </c>
      <c r="H74" s="3" t="s">
        <v>685</v>
      </c>
      <c r="I74" s="5" t="s">
        <v>89</v>
      </c>
      <c r="J74" s="5">
        <f>VLOOKUP(I74,[1]Sayfa1!$A:$C,2,0)</f>
        <v>0</v>
      </c>
      <c r="K74" s="5" t="str">
        <f>VLOOKUP(I74,[1]Sayfa1!$A:$C,3,0)</f>
        <v>yönergesi</v>
      </c>
    </row>
    <row r="75" spans="5:11" ht="46.5" x14ac:dyDescent="0.35">
      <c r="E75" s="3">
        <v>73</v>
      </c>
      <c r="F75" s="3" t="s">
        <v>108</v>
      </c>
      <c r="G75" s="3" t="s">
        <v>650</v>
      </c>
      <c r="H75" s="3" t="s">
        <v>692</v>
      </c>
      <c r="I75" s="10" t="s">
        <v>90</v>
      </c>
      <c r="J75" s="5">
        <f>VLOOKUP(I75,[1]Sayfa1!$A:$C,2,0)</f>
        <v>0</v>
      </c>
      <c r="K75" s="5" t="str">
        <f>VLOOKUP(I75,[1]Sayfa1!$A:$C,3,0)</f>
        <v>yönergesi</v>
      </c>
    </row>
    <row r="76" spans="5:11" ht="46.5" x14ac:dyDescent="0.35">
      <c r="E76" s="3">
        <v>74</v>
      </c>
      <c r="F76" s="3" t="s">
        <v>108</v>
      </c>
      <c r="G76" s="3" t="s">
        <v>650</v>
      </c>
      <c r="H76" s="3" t="s">
        <v>692</v>
      </c>
      <c r="I76" s="5" t="s">
        <v>91</v>
      </c>
      <c r="J76" s="5">
        <f>VLOOKUP(I76,[1]Sayfa1!$A:$C,2,0)</f>
        <v>0</v>
      </c>
      <c r="K76" s="5" t="str">
        <f>VLOOKUP(I76,[1]Sayfa1!$A:$C,3,0)</f>
        <v>yönergesi</v>
      </c>
    </row>
    <row r="77" spans="5:11" ht="46.5" x14ac:dyDescent="0.35">
      <c r="E77" s="3">
        <v>75</v>
      </c>
      <c r="F77" s="3" t="s">
        <v>108</v>
      </c>
      <c r="G77" s="3" t="s">
        <v>650</v>
      </c>
      <c r="H77" s="3" t="s">
        <v>692</v>
      </c>
      <c r="I77" s="5" t="s">
        <v>92</v>
      </c>
      <c r="J77" s="5">
        <f>VLOOKUP(I77,[1]Sayfa1!$A:$C,2,0)</f>
        <v>0</v>
      </c>
      <c r="K77" s="5" t="str">
        <f>VLOOKUP(I77,[1]Sayfa1!$A:$C,3,0)</f>
        <v>yönetmeliği</v>
      </c>
    </row>
    <row r="78" spans="5:11" ht="46.5" x14ac:dyDescent="0.35">
      <c r="E78" s="3">
        <v>76</v>
      </c>
      <c r="F78" s="3" t="s">
        <v>108</v>
      </c>
      <c r="G78" s="3" t="s">
        <v>650</v>
      </c>
      <c r="H78" s="3" t="s">
        <v>692</v>
      </c>
      <c r="I78" s="10" t="s">
        <v>93</v>
      </c>
      <c r="J78" s="5" t="str">
        <f>VLOOKUP(I78,[1]Sayfa1!$A:$C,2,0)</f>
        <v xml:space="preserve">2001/2863 BKK Esaslar </v>
      </c>
      <c r="K78" s="5" t="str">
        <f>VLOOKUP(I78,[1]Sayfa1!$A:$C,3,0)</f>
        <v>md. 16</v>
      </c>
    </row>
    <row r="79" spans="5:11" ht="46.5" x14ac:dyDescent="0.35">
      <c r="E79" s="3">
        <v>77</v>
      </c>
      <c r="F79" s="3" t="s">
        <v>108</v>
      </c>
      <c r="G79" s="3" t="s">
        <v>650</v>
      </c>
      <c r="H79" s="3" t="s">
        <v>692</v>
      </c>
      <c r="I79" s="10" t="s">
        <v>94</v>
      </c>
      <c r="J79" s="5">
        <f>VLOOKUP(I79,[1]Sayfa1!$A:$C,2,0)</f>
        <v>0</v>
      </c>
      <c r="K79" s="5">
        <f>VLOOKUP(I79,[1]Sayfa1!$A:$C,3,0)</f>
        <v>0</v>
      </c>
    </row>
    <row r="80" spans="5:11" ht="46.5" x14ac:dyDescent="0.35">
      <c r="E80" s="3">
        <v>78</v>
      </c>
      <c r="F80" s="3" t="s">
        <v>108</v>
      </c>
      <c r="G80" s="3" t="s">
        <v>650</v>
      </c>
      <c r="H80" s="3" t="s">
        <v>692</v>
      </c>
      <c r="I80" s="5" t="s">
        <v>95</v>
      </c>
      <c r="J80" s="5" t="str">
        <f>VLOOKUP(I80,[1]Sayfa1!$A:$C,2,0)</f>
        <v>2001/2863 BKK Esaslar</v>
      </c>
      <c r="K80" s="5" t="str">
        <f>VLOOKUP(I80,[1]Sayfa1!$A:$C,3,0)</f>
        <v>md. 5</v>
      </c>
    </row>
    <row r="81" spans="5:11" ht="46.5" x14ac:dyDescent="0.35">
      <c r="E81" s="3">
        <v>79</v>
      </c>
      <c r="F81" s="3" t="s">
        <v>108</v>
      </c>
      <c r="G81" s="3" t="s">
        <v>650</v>
      </c>
      <c r="H81" s="3" t="s">
        <v>692</v>
      </c>
      <c r="I81" s="10" t="s">
        <v>96</v>
      </c>
      <c r="J81" s="5" t="str">
        <f>VLOOKUP(I81,[1]Sayfa1!$A:$C,2,0)</f>
        <v>2001/2863 BKK Esaslar</v>
      </c>
      <c r="K81" s="5" t="str">
        <f>VLOOKUP(I81,[1]Sayfa1!$A:$C,3,0)</f>
        <v>md. 2</v>
      </c>
    </row>
    <row r="82" spans="5:11" ht="46.5" x14ac:dyDescent="0.35">
      <c r="E82" s="3">
        <v>80</v>
      </c>
      <c r="F82" s="3" t="s">
        <v>108</v>
      </c>
      <c r="G82" s="3" t="s">
        <v>650</v>
      </c>
      <c r="H82" s="3" t="s">
        <v>685</v>
      </c>
      <c r="I82" s="5" t="s">
        <v>97</v>
      </c>
      <c r="J82" s="5" t="str">
        <f>VLOOKUP(I82,[1]Sayfa1!$A:$C,2,0)</f>
        <v>İl Spor Merkezleri Yön.</v>
      </c>
      <c r="K82" s="5" t="str">
        <f>VLOOKUP(I82,[1]Sayfa1!$A:$C,3,0)</f>
        <v>md. 4</v>
      </c>
    </row>
    <row r="83" spans="5:11" ht="46.5" x14ac:dyDescent="0.35">
      <c r="E83" s="3">
        <v>81</v>
      </c>
      <c r="F83" s="3" t="s">
        <v>108</v>
      </c>
      <c r="G83" s="3" t="s">
        <v>650</v>
      </c>
      <c r="H83" s="3" t="s">
        <v>692</v>
      </c>
      <c r="I83" s="5" t="s">
        <v>98</v>
      </c>
      <c r="J83" s="5" t="str">
        <f>VLOOKUP(I83,[1]Sayfa1!$A:$C,2,0)</f>
        <v xml:space="preserve">2001/2863 BKK Esaslar </v>
      </c>
      <c r="K83" s="5" t="str">
        <f>VLOOKUP(I83,[1]Sayfa1!$A:$C,3,0)</f>
        <v>md. 16</v>
      </c>
    </row>
    <row r="84" spans="5:11" ht="46.5" x14ac:dyDescent="0.35">
      <c r="E84" s="3">
        <v>82</v>
      </c>
      <c r="F84" s="3" t="s">
        <v>108</v>
      </c>
      <c r="G84" s="3" t="s">
        <v>650</v>
      </c>
      <c r="H84" s="3" t="s">
        <v>685</v>
      </c>
      <c r="I84" s="5" t="s">
        <v>99</v>
      </c>
      <c r="J84" s="5" t="str">
        <f>VLOOKUP(I84,[1]Sayfa1!$A:$C,2,0)</f>
        <v xml:space="preserve">657 Sayılı Kanun </v>
      </c>
      <c r="K84" s="5" t="str">
        <f>VLOOKUP(I84,[1]Sayfa1!$A:$C,3,0)</f>
        <v>md. 28</v>
      </c>
    </row>
    <row r="85" spans="5:11" ht="46.5" x14ac:dyDescent="0.35">
      <c r="E85" s="3">
        <v>83</v>
      </c>
      <c r="F85" s="3" t="s">
        <v>108</v>
      </c>
      <c r="G85" s="3" t="s">
        <v>650</v>
      </c>
      <c r="H85" s="3" t="s">
        <v>685</v>
      </c>
      <c r="I85" s="5" t="s">
        <v>100</v>
      </c>
      <c r="J85" s="5" t="str">
        <f>VLOOKUP(I85,[1]Sayfa1!$A:$C,2,0)</f>
        <v xml:space="preserve">657 Sayılı Kanun </v>
      </c>
      <c r="K85" s="5" t="str">
        <f>VLOOKUP(I85,[1]Sayfa1!$A:$C,3,0)</f>
        <v>md. 28</v>
      </c>
    </row>
    <row r="86" spans="5:11" ht="46.5" x14ac:dyDescent="0.35">
      <c r="E86" s="3">
        <v>84</v>
      </c>
      <c r="F86" s="3" t="s">
        <v>108</v>
      </c>
      <c r="G86" s="3" t="s">
        <v>650</v>
      </c>
      <c r="H86" s="3" t="s">
        <v>662</v>
      </c>
      <c r="I86" s="5" t="s">
        <v>101</v>
      </c>
      <c r="J86" s="5" t="str">
        <f>VLOOKUP(I86,[1]Sayfa1!$A:$C,2,0)</f>
        <v>657 Sayılı Kanun M</v>
      </c>
      <c r="K86" s="5" t="str">
        <f>VLOOKUP(I86,[1]Sayfa1!$A:$C,3,0)</f>
        <v>md. 125</v>
      </c>
    </row>
    <row r="87" spans="5:11" ht="46.5" x14ac:dyDescent="0.35">
      <c r="E87" s="3">
        <v>85</v>
      </c>
      <c r="F87" s="3" t="s">
        <v>108</v>
      </c>
      <c r="G87" s="3" t="s">
        <v>650</v>
      </c>
      <c r="H87" s="3" t="s">
        <v>693</v>
      </c>
      <c r="I87" s="10" t="s">
        <v>102</v>
      </c>
      <c r="J87" s="5">
        <f>VLOOKUP(I87,[1]Sayfa1!$A:$C,2,0)</f>
        <v>0</v>
      </c>
      <c r="K87" s="5" t="str">
        <f>VLOOKUP(I87,[1]Sayfa1!$A:$C,3,0)</f>
        <v>md. 7</v>
      </c>
    </row>
    <row r="88" spans="5:11" ht="46.5" x14ac:dyDescent="0.35">
      <c r="E88" s="3">
        <v>86</v>
      </c>
      <c r="F88" s="3" t="s">
        <v>108</v>
      </c>
      <c r="G88" s="3" t="s">
        <v>650</v>
      </c>
      <c r="H88" s="3" t="s">
        <v>693</v>
      </c>
      <c r="I88" s="10" t="s">
        <v>103</v>
      </c>
      <c r="J88" s="5">
        <f>VLOOKUP(I88,[1]Sayfa1!$A:$C,2,0)</f>
        <v>0</v>
      </c>
      <c r="K88" s="5" t="str">
        <f>VLOOKUP(I88,[1]Sayfa1!$A:$C,3,0)</f>
        <v>md. 7</v>
      </c>
    </row>
    <row r="89" spans="5:11" ht="46.5" x14ac:dyDescent="0.35">
      <c r="E89" s="3">
        <v>87</v>
      </c>
      <c r="F89" s="3" t="s">
        <v>108</v>
      </c>
      <c r="G89" s="3" t="s">
        <v>650</v>
      </c>
      <c r="H89" s="3" t="s">
        <v>693</v>
      </c>
      <c r="I89" s="5" t="s">
        <v>104</v>
      </c>
      <c r="J89" s="5">
        <f>VLOOKUP(I89,[1]Sayfa1!$A:$C,2,0)</f>
        <v>0</v>
      </c>
      <c r="K89" s="5" t="str">
        <f>VLOOKUP(I89,[1]Sayfa1!$A:$C,3,0)</f>
        <v>md. 28</v>
      </c>
    </row>
    <row r="90" spans="5:11" ht="46.5" x14ac:dyDescent="0.35">
      <c r="E90" s="3">
        <v>88</v>
      </c>
      <c r="F90" s="3" t="s">
        <v>108</v>
      </c>
      <c r="G90" s="3" t="s">
        <v>650</v>
      </c>
      <c r="H90" s="3" t="s">
        <v>693</v>
      </c>
      <c r="I90" s="5" t="s">
        <v>105</v>
      </c>
      <c r="J90" s="5">
        <f>VLOOKUP(I90,[1]Sayfa1!$A:$C,2,0)</f>
        <v>0</v>
      </c>
      <c r="K90" s="5" t="str">
        <f>VLOOKUP(I90,[1]Sayfa1!$A:$C,3,0)</f>
        <v>md. 18</v>
      </c>
    </row>
    <row r="91" spans="5:11" ht="46.5" x14ac:dyDescent="0.35">
      <c r="E91" s="3">
        <v>89</v>
      </c>
      <c r="F91" s="3" t="s">
        <v>108</v>
      </c>
      <c r="G91" s="3" t="s">
        <v>650</v>
      </c>
      <c r="H91" s="3" t="s">
        <v>662</v>
      </c>
      <c r="I91" s="5" t="s">
        <v>106</v>
      </c>
      <c r="J91" s="5">
        <f>VLOOKUP(I91,[1]Sayfa1!$A:$C,2,0)</f>
        <v>0</v>
      </c>
      <c r="K91" s="5">
        <f>VLOOKUP(I91,[1]Sayfa1!$A:$C,3,0)</f>
        <v>0</v>
      </c>
    </row>
    <row r="92" spans="5:11" ht="46.5" x14ac:dyDescent="0.35">
      <c r="E92" s="3">
        <v>90</v>
      </c>
      <c r="F92" s="3" t="s">
        <v>108</v>
      </c>
      <c r="G92" s="3" t="s">
        <v>650</v>
      </c>
      <c r="H92" s="3" t="s">
        <v>694</v>
      </c>
      <c r="I92" s="10" t="s">
        <v>107</v>
      </c>
      <c r="J92" s="5" t="str">
        <f>VLOOKUP(I92,[1]Sayfa1!$A:$C,2,0)</f>
        <v>GSB Taşra Bütçe ve Muhasebe Yön.</v>
      </c>
      <c r="K92" s="5" t="str">
        <f>VLOOKUP(I92,[1]Sayfa1!$A:$C,3,0)</f>
        <v>md. 19</v>
      </c>
    </row>
    <row r="93" spans="5:11" ht="46.5" x14ac:dyDescent="0.35">
      <c r="E93" s="3">
        <v>91</v>
      </c>
      <c r="F93" s="3" t="s">
        <v>257</v>
      </c>
      <c r="G93" s="3" t="s">
        <v>669</v>
      </c>
      <c r="H93" s="3" t="s">
        <v>695</v>
      </c>
      <c r="I93" s="10" t="s">
        <v>109</v>
      </c>
      <c r="J93" s="5" t="str">
        <f>VLOOKUP(I93,[1]Sayfa1!$A:$C,2,0)</f>
        <v>Yangın Önleme ve Sön. Tal.</v>
      </c>
      <c r="K93" s="5" t="str">
        <f>VLOOKUP(I93,[1]Sayfa1!$A:$C,3,0)</f>
        <v>md. 47/6</v>
      </c>
    </row>
    <row r="94" spans="5:11" ht="46.5" x14ac:dyDescent="0.35">
      <c r="E94" s="3">
        <v>92</v>
      </c>
      <c r="F94" s="3" t="s">
        <v>257</v>
      </c>
      <c r="G94" s="3" t="s">
        <v>669</v>
      </c>
      <c r="H94" s="3" t="s">
        <v>695</v>
      </c>
      <c r="I94" s="5" t="s">
        <v>110</v>
      </c>
      <c r="J94" s="5" t="str">
        <f>VLOOKUP(I94,[1]Sayfa1!$A:$C,2,0)</f>
        <v>Yangın Önleme ve Sön. Tal.</v>
      </c>
      <c r="K94" s="5" t="str">
        <f>VLOOKUP(I94,[1]Sayfa1!$A:$C,3,0)</f>
        <v>md. 47/6</v>
      </c>
    </row>
    <row r="95" spans="5:11" ht="46.5" x14ac:dyDescent="0.35">
      <c r="E95" s="3">
        <v>93</v>
      </c>
      <c r="F95" s="3" t="s">
        <v>257</v>
      </c>
      <c r="G95" s="3" t="s">
        <v>669</v>
      </c>
      <c r="H95" s="3" t="s">
        <v>695</v>
      </c>
      <c r="I95" s="10" t="s">
        <v>111</v>
      </c>
      <c r="J95" s="5" t="str">
        <f>VLOOKUP(I95,[1]Sayfa1!$A:$C,2,0)</f>
        <v>Binaların Yangından Kor. Yön.</v>
      </c>
      <c r="K95" s="5" t="str">
        <f>VLOOKUP(I95,[1]Sayfa1!$A:$C,3,0)</f>
        <v>md. 99/5</v>
      </c>
    </row>
    <row r="96" spans="5:11" ht="46.5" x14ac:dyDescent="0.35">
      <c r="E96" s="3">
        <v>94</v>
      </c>
      <c r="F96" s="3" t="s">
        <v>257</v>
      </c>
      <c r="G96" s="3" t="s">
        <v>669</v>
      </c>
      <c r="H96" s="3" t="s">
        <v>695</v>
      </c>
      <c r="I96" s="5" t="s">
        <v>112</v>
      </c>
      <c r="J96" s="5" t="str">
        <f>VLOOKUP(I96,[1]Sayfa1!$A:$C,2,0)</f>
        <v>Binaların Yangından Kor. Yön.</v>
      </c>
      <c r="K96" s="5" t="str">
        <f>VLOOKUP(I96,[1]Sayfa1!$A:$C,3,0)</f>
        <v>md. 99/5</v>
      </c>
    </row>
    <row r="97" spans="5:11" ht="46.5" x14ac:dyDescent="0.35">
      <c r="E97" s="3">
        <v>95</v>
      </c>
      <c r="F97" s="3" t="s">
        <v>257</v>
      </c>
      <c r="G97" s="3" t="s">
        <v>669</v>
      </c>
      <c r="H97" s="3" t="s">
        <v>695</v>
      </c>
      <c r="I97" s="10" t="s">
        <v>113</v>
      </c>
      <c r="J97" s="5">
        <f>VLOOKUP(I97,[1]Sayfa1!$A:$C,2,0)</f>
        <v>0</v>
      </c>
      <c r="K97" s="5" t="str">
        <f>VLOOKUP(I97,[1]Sayfa1!$A:$C,3,0)</f>
        <v>yön.</v>
      </c>
    </row>
    <row r="98" spans="5:11" ht="46.5" x14ac:dyDescent="0.35">
      <c r="E98" s="3">
        <v>96</v>
      </c>
      <c r="F98" s="3" t="s">
        <v>257</v>
      </c>
      <c r="G98" s="3" t="s">
        <v>669</v>
      </c>
      <c r="H98" s="3" t="s">
        <v>696</v>
      </c>
      <c r="I98" s="10" t="s">
        <v>114</v>
      </c>
      <c r="J98" s="5" t="str">
        <f>VLOOKUP(I98,[1]Sayfa1!$A:$C,2,0)</f>
        <v>Özel ve Gece Hiz.</v>
      </c>
      <c r="K98" s="5" t="str">
        <f>VLOOKUP(I98,[1]Sayfa1!$A:$C,3,0)</f>
        <v>usul ve esaslar md. 10</v>
      </c>
    </row>
    <row r="99" spans="5:11" ht="46.5" x14ac:dyDescent="0.35">
      <c r="E99" s="3">
        <v>97</v>
      </c>
      <c r="F99" s="3" t="s">
        <v>257</v>
      </c>
      <c r="G99" s="3" t="s">
        <v>650</v>
      </c>
      <c r="H99" s="3" t="s">
        <v>683</v>
      </c>
      <c r="I99" s="10" t="s">
        <v>115</v>
      </c>
      <c r="J99" s="5" t="str">
        <f>VLOOKUP(I99,[1]Sayfa1!$A:$C,2,0)</f>
        <v>Özel ve Gece Hiz.</v>
      </c>
      <c r="K99" s="5" t="str">
        <f>VLOOKUP(I99,[1]Sayfa1!$A:$C,3,0)</f>
        <v>usul ve esaslar md. 7</v>
      </c>
    </row>
    <row r="100" spans="5:11" ht="46.5" x14ac:dyDescent="0.35">
      <c r="E100" s="3">
        <v>98</v>
      </c>
      <c r="F100" s="3" t="s">
        <v>257</v>
      </c>
      <c r="G100" s="3" t="s">
        <v>650</v>
      </c>
      <c r="H100" s="3" t="s">
        <v>697</v>
      </c>
      <c r="I100" s="5" t="s">
        <v>116</v>
      </c>
      <c r="J100" s="5" t="str">
        <f>VLOOKUP(I100,[1]Sayfa1!$A:$C,2,0)</f>
        <v>Özel ve Gece Hiz.</v>
      </c>
      <c r="K100" s="5" t="str">
        <f>VLOOKUP(I100,[1]Sayfa1!$A:$C,3,0)</f>
        <v>usul ve esaslar md. 7</v>
      </c>
    </row>
    <row r="101" spans="5:11" ht="46.5" x14ac:dyDescent="0.35">
      <c r="E101" s="3">
        <v>99</v>
      </c>
      <c r="F101" s="3" t="s">
        <v>257</v>
      </c>
      <c r="G101" s="3" t="s">
        <v>669</v>
      </c>
      <c r="H101" s="3" t="s">
        <v>659</v>
      </c>
      <c r="I101" s="5" t="s">
        <v>117</v>
      </c>
      <c r="J101" s="5" t="str">
        <f>VLOOKUP(I101,[1]Sayfa1!$A:$C,2,0)</f>
        <v>Yangın Önleme ve Sön. Tal.</v>
      </c>
      <c r="K101" s="5" t="str">
        <f>VLOOKUP(I101,[1]Sayfa1!$A:$C,3,0)</f>
        <v>md. 33/3</v>
      </c>
    </row>
    <row r="102" spans="5:11" ht="46.5" x14ac:dyDescent="0.35">
      <c r="E102" s="3">
        <v>100</v>
      </c>
      <c r="F102" s="3" t="s">
        <v>257</v>
      </c>
      <c r="G102" s="3" t="s">
        <v>669</v>
      </c>
      <c r="H102" s="3" t="s">
        <v>698</v>
      </c>
      <c r="I102" s="10" t="s">
        <v>118</v>
      </c>
      <c r="J102" s="5" t="str">
        <f>VLOOKUP(I102,[1]Sayfa1!$A:$C,2,0)</f>
        <v>Küçük İşletmelere İlişkin Usul Esas.</v>
      </c>
      <c r="K102" s="5" t="str">
        <f>VLOOKUP(I102,[1]Sayfa1!$A:$C,3,0)</f>
        <v>md. 20/d</v>
      </c>
    </row>
    <row r="103" spans="5:11" ht="46.5" x14ac:dyDescent="0.35">
      <c r="E103" s="3">
        <v>101</v>
      </c>
      <c r="F103" s="3" t="s">
        <v>257</v>
      </c>
      <c r="G103" s="3" t="s">
        <v>669</v>
      </c>
      <c r="H103" s="3" t="s">
        <v>698</v>
      </c>
      <c r="I103" s="10" t="s">
        <v>119</v>
      </c>
      <c r="J103" s="5" t="str">
        <f>VLOOKUP(I103,[1]Sayfa1!$A:$C,2,0)</f>
        <v>Küçük İşletmelere İlişkin Usul Esas.</v>
      </c>
      <c r="K103" s="5" t="str">
        <f>VLOOKUP(I103,[1]Sayfa1!$A:$C,3,0)</f>
        <v>md. 20/d</v>
      </c>
    </row>
    <row r="104" spans="5:11" ht="46.5" x14ac:dyDescent="0.35">
      <c r="E104" s="3">
        <v>102</v>
      </c>
      <c r="F104" s="3" t="s">
        <v>257</v>
      </c>
      <c r="G104" s="3" t="s">
        <v>669</v>
      </c>
      <c r="H104" s="3" t="s">
        <v>672</v>
      </c>
      <c r="I104" s="5" t="s">
        <v>120</v>
      </c>
      <c r="J104" s="5" t="str">
        <f>VLOOKUP(I104,[1]Sayfa1!$A:$C,2,0)</f>
        <v>Yurtlarda Alınacak Tedbirler Usul Esas.</v>
      </c>
      <c r="K104" s="5" t="str">
        <f>VLOOKUP(I104,[1]Sayfa1!$A:$C,3,0)</f>
        <v>md. 10/5</v>
      </c>
    </row>
    <row r="105" spans="5:11" ht="46.5" x14ac:dyDescent="0.35">
      <c r="E105" s="3">
        <v>103</v>
      </c>
      <c r="F105" s="3" t="s">
        <v>257</v>
      </c>
      <c r="G105" s="3" t="s">
        <v>669</v>
      </c>
      <c r="H105" s="3" t="s">
        <v>699</v>
      </c>
      <c r="I105" s="10" t="s">
        <v>121</v>
      </c>
      <c r="J105" s="5" t="str">
        <f>VLOOKUP(I105,[1]Sayfa1!$A:$C,2,0)</f>
        <v>Yurtlarda Alınacak Tedbirler Usul Esas.</v>
      </c>
      <c r="K105" s="5" t="str">
        <f>VLOOKUP(I105,[1]Sayfa1!$A:$C,3,0)</f>
        <v>md. 10/7</v>
      </c>
    </row>
    <row r="106" spans="5:11" ht="46.5" x14ac:dyDescent="0.35">
      <c r="E106" s="3">
        <v>104</v>
      </c>
      <c r="F106" s="3" t="s">
        <v>257</v>
      </c>
      <c r="G106" s="3" t="s">
        <v>669</v>
      </c>
      <c r="H106" s="3" t="s">
        <v>659</v>
      </c>
      <c r="I106" s="5" t="s">
        <v>122</v>
      </c>
      <c r="J106" s="5" t="str">
        <f>VLOOKUP(I106,[1]Sayfa1!$A:$C,2,0)</f>
        <v>Yurtlarda Alınacak Tedbirler Usul</v>
      </c>
      <c r="K106" s="5" t="str">
        <f>VLOOKUP(I106,[1]Sayfa1!$A:$C,3,0)</f>
        <v>esas.</v>
      </c>
    </row>
    <row r="107" spans="5:11" ht="46.5" x14ac:dyDescent="0.35">
      <c r="E107" s="3">
        <v>105</v>
      </c>
      <c r="F107" s="3" t="s">
        <v>257</v>
      </c>
      <c r="G107" s="3" t="s">
        <v>669</v>
      </c>
      <c r="H107" s="3" t="s">
        <v>700</v>
      </c>
      <c r="I107" s="10" t="s">
        <v>123</v>
      </c>
      <c r="J107" s="5" t="str">
        <f>VLOOKUP(I107,[1]Sayfa1!$A:$C,2,0)</f>
        <v>Binaların Yangından Kor. Yön.</v>
      </c>
      <c r="K107" s="5" t="str">
        <f>VLOOKUP(I107,[1]Sayfa1!$A:$C,3,0)</f>
        <v>md. 7/2</v>
      </c>
    </row>
    <row r="108" spans="5:11" ht="46.5" x14ac:dyDescent="0.35">
      <c r="E108" s="3">
        <v>106</v>
      </c>
      <c r="F108" s="3" t="s">
        <v>257</v>
      </c>
      <c r="G108" s="3" t="s">
        <v>669</v>
      </c>
      <c r="H108" s="3" t="s">
        <v>659</v>
      </c>
      <c r="I108" s="5" t="s">
        <v>124</v>
      </c>
      <c r="J108" s="5" t="str">
        <f>VLOOKUP(I108,[1]Sayfa1!$A:$C,2,0)</f>
        <v>Yangın Önleme ve Sön. Tal.</v>
      </c>
      <c r="K108" s="5" t="str">
        <f>VLOOKUP(I108,[1]Sayfa1!$A:$C,3,0)</f>
        <v>md. 7/b</v>
      </c>
    </row>
    <row r="109" spans="5:11" ht="46.5" x14ac:dyDescent="0.35">
      <c r="E109" s="3">
        <v>107</v>
      </c>
      <c r="F109" s="3" t="s">
        <v>257</v>
      </c>
      <c r="G109" s="3" t="s">
        <v>669</v>
      </c>
      <c r="H109" s="3" t="s">
        <v>701</v>
      </c>
      <c r="I109" s="5" t="s">
        <v>125</v>
      </c>
      <c r="J109" s="5" t="str">
        <f>VLOOKUP(I109,[1]Sayfa1!$A:$C,2,0)</f>
        <v>Yurtlarda Alınacak Tedbirler Usul Esas.</v>
      </c>
      <c r="K109" s="5" t="str">
        <f>VLOOKUP(I109,[1]Sayfa1!$A:$C,3,0)</f>
        <v>md. 10/6-7</v>
      </c>
    </row>
    <row r="110" spans="5:11" ht="46.5" x14ac:dyDescent="0.35">
      <c r="E110" s="3">
        <v>108</v>
      </c>
      <c r="F110" s="3" t="s">
        <v>257</v>
      </c>
      <c r="G110" s="3" t="s">
        <v>669</v>
      </c>
      <c r="H110" s="3" t="s">
        <v>701</v>
      </c>
      <c r="I110" s="5" t="s">
        <v>126</v>
      </c>
      <c r="J110" s="5" t="str">
        <f>VLOOKUP(I110,[1]Sayfa1!$A:$C,2,0)</f>
        <v>Yurtlarda Alınacak Tedbirler Usul Esas.</v>
      </c>
      <c r="K110" s="5" t="str">
        <f>VLOOKUP(I110,[1]Sayfa1!$A:$C,3,0)</f>
        <v>md. 10</v>
      </c>
    </row>
    <row r="111" spans="5:11" ht="46.5" x14ac:dyDescent="0.35">
      <c r="E111" s="3">
        <v>109</v>
      </c>
      <c r="F111" s="3" t="s">
        <v>257</v>
      </c>
      <c r="G111" s="3" t="s">
        <v>669</v>
      </c>
      <c r="H111" s="3" t="s">
        <v>700</v>
      </c>
      <c r="I111" s="10" t="s">
        <v>127</v>
      </c>
      <c r="J111" s="5" t="str">
        <f>VLOOKUP(I111,[1]Sayfa1!$A:$C,2,0)</f>
        <v>Binaların Yangından Kor. Yön.</v>
      </c>
      <c r="K111" s="5" t="str">
        <f>VLOOKUP(I111,[1]Sayfa1!$A:$C,3,0)</f>
        <v>md. 39</v>
      </c>
    </row>
    <row r="112" spans="5:11" ht="46.5" x14ac:dyDescent="0.35">
      <c r="E112" s="3">
        <v>110</v>
      </c>
      <c r="F112" s="3" t="s">
        <v>257</v>
      </c>
      <c r="G112" s="3" t="s">
        <v>669</v>
      </c>
      <c r="H112" s="3" t="s">
        <v>659</v>
      </c>
      <c r="I112" s="5" t="s">
        <v>128</v>
      </c>
      <c r="J112" s="5" t="str">
        <f>VLOOKUP(I112,[1]Sayfa1!$A:$C,2,0)</f>
        <v>Yangın Önleme ve Sön. Tal.</v>
      </c>
      <c r="K112" s="5" t="str">
        <f>VLOOKUP(I112,[1]Sayfa1!$A:$C,3,0)</f>
        <v>md. 22/2</v>
      </c>
    </row>
    <row r="113" spans="5:11" ht="31" x14ac:dyDescent="0.35">
      <c r="E113" s="3">
        <v>111</v>
      </c>
      <c r="F113" s="3" t="s">
        <v>257</v>
      </c>
      <c r="G113" s="3" t="s">
        <v>669</v>
      </c>
      <c r="H113" s="3" t="s">
        <v>659</v>
      </c>
      <c r="I113" s="5" t="s">
        <v>129</v>
      </c>
      <c r="J113" s="5" t="str">
        <f>VLOOKUP(I113,[1]Sayfa1!$A:$C,2,0)</f>
        <v>Yangın Önleme ve Sön. Tal.</v>
      </c>
      <c r="K113" s="5" t="str">
        <f>VLOOKUP(I113,[1]Sayfa1!$A:$C,3,0)</f>
        <v>md. 22/2</v>
      </c>
    </row>
    <row r="114" spans="5:11" ht="46.5" x14ac:dyDescent="0.35">
      <c r="E114" s="3">
        <v>112</v>
      </c>
      <c r="F114" s="3" t="s">
        <v>257</v>
      </c>
      <c r="G114" s="3" t="s">
        <v>669</v>
      </c>
      <c r="H114" s="3" t="s">
        <v>659</v>
      </c>
      <c r="I114" s="5" t="s">
        <v>130</v>
      </c>
      <c r="J114" s="5" t="str">
        <f>VLOOKUP(I114,[1]Sayfa1!$A:$C,2,0)</f>
        <v>Yangın Önleme ve Sön. Tal.</v>
      </c>
      <c r="K114" s="5" t="str">
        <f>VLOOKUP(I114,[1]Sayfa1!$A:$C,3,0)</f>
        <v>md. 22/2</v>
      </c>
    </row>
    <row r="115" spans="5:11" ht="46.5" x14ac:dyDescent="0.35">
      <c r="E115" s="3">
        <v>113</v>
      </c>
      <c r="F115" s="3" t="s">
        <v>257</v>
      </c>
      <c r="G115" s="3" t="s">
        <v>669</v>
      </c>
      <c r="H115" s="3" t="s">
        <v>659</v>
      </c>
      <c r="I115" s="10" t="s">
        <v>131</v>
      </c>
      <c r="J115" s="5" t="str">
        <f>VLOOKUP(I115,[1]Sayfa1!$A:$C,2,0)</f>
        <v>Yangın Önleme ve Sön. Yön.</v>
      </c>
      <c r="K115" s="5" t="str">
        <f>VLOOKUP(I115,[1]Sayfa1!$A:$C,3,0)</f>
        <v>md. 7/4</v>
      </c>
    </row>
    <row r="116" spans="5:11" ht="46.5" x14ac:dyDescent="0.35">
      <c r="E116" s="3">
        <v>114</v>
      </c>
      <c r="F116" s="3" t="s">
        <v>257</v>
      </c>
      <c r="G116" s="3" t="s">
        <v>650</v>
      </c>
      <c r="H116" s="3" t="s">
        <v>659</v>
      </c>
      <c r="I116" s="10" t="s">
        <v>132</v>
      </c>
      <c r="J116" s="5" t="str">
        <f>VLOOKUP(I116,[1]Sayfa1!$A:$C,2,0)</f>
        <v>Yurtlarda Alınacak Tedbirler Usul Esas.</v>
      </c>
      <c r="K116" s="5" t="str">
        <f>VLOOKUP(I116,[1]Sayfa1!$A:$C,3,0)</f>
        <v>md. 10/6</v>
      </c>
    </row>
    <row r="117" spans="5:11" ht="46.5" x14ac:dyDescent="0.35">
      <c r="E117" s="3">
        <v>115</v>
      </c>
      <c r="F117" s="3" t="s">
        <v>257</v>
      </c>
      <c r="G117" s="3" t="s">
        <v>650</v>
      </c>
      <c r="H117" s="3" t="s">
        <v>659</v>
      </c>
      <c r="I117" s="5" t="s">
        <v>133</v>
      </c>
      <c r="J117" s="5" t="str">
        <f>VLOOKUP(I117,[1]Sayfa1!$A:$C,2,0)</f>
        <v>Binaların Yangından Kor. Yön.</v>
      </c>
      <c r="K117" s="5" t="str">
        <f>VLOOKUP(I117,[1]Sayfa1!$A:$C,3,0)</f>
        <v>md. 6/4</v>
      </c>
    </row>
    <row r="118" spans="5:11" ht="46.5" x14ac:dyDescent="0.35">
      <c r="E118" s="3">
        <v>116</v>
      </c>
      <c r="F118" s="3" t="s">
        <v>257</v>
      </c>
      <c r="G118" s="3" t="s">
        <v>650</v>
      </c>
      <c r="H118" s="3" t="s">
        <v>659</v>
      </c>
      <c r="I118" s="5" t="s">
        <v>134</v>
      </c>
      <c r="J118" s="5" t="str">
        <f>VLOOKUP(I118,[1]Sayfa1!$A:$C,2,0)</f>
        <v>GSB Yangın Önleme ve Sön. Tal.</v>
      </c>
      <c r="K118" s="5" t="str">
        <f>VLOOKUP(I118,[1]Sayfa1!$A:$C,3,0)</f>
        <v>md. 6/1-ç</v>
      </c>
    </row>
    <row r="119" spans="5:11" ht="46.5" x14ac:dyDescent="0.35">
      <c r="E119" s="3">
        <v>117</v>
      </c>
      <c r="F119" s="3" t="s">
        <v>257</v>
      </c>
      <c r="G119" s="3" t="s">
        <v>650</v>
      </c>
      <c r="H119" s="3" t="s">
        <v>700</v>
      </c>
      <c r="I119" s="10" t="s">
        <v>135</v>
      </c>
      <c r="J119" s="5" t="str">
        <f>VLOOKUP(I119,[1]Sayfa1!$A:$C,2,0)</f>
        <v xml:space="preserve">Bakım Onarım Talimatı </v>
      </c>
      <c r="K119" s="5" t="str">
        <f>VLOOKUP(I119,[1]Sayfa1!$A:$C,3,0)</f>
        <v>md. 12</v>
      </c>
    </row>
    <row r="120" spans="5:11" ht="46.5" x14ac:dyDescent="0.35">
      <c r="E120" s="3">
        <v>118</v>
      </c>
      <c r="F120" s="3" t="s">
        <v>257</v>
      </c>
      <c r="G120" s="3" t="s">
        <v>650</v>
      </c>
      <c r="H120" s="3" t="s">
        <v>700</v>
      </c>
      <c r="I120" s="5" t="s">
        <v>136</v>
      </c>
      <c r="J120" s="5" t="str">
        <f>VLOOKUP(I120,[1]Sayfa1!$A:$C,2,0)</f>
        <v xml:space="preserve">Bakım Onarım Talimatı </v>
      </c>
      <c r="K120" s="5" t="str">
        <f>VLOOKUP(I120,[1]Sayfa1!$A:$C,3,0)</f>
        <v>md. 12</v>
      </c>
    </row>
    <row r="121" spans="5:11" ht="46.5" x14ac:dyDescent="0.35">
      <c r="E121" s="3">
        <v>119</v>
      </c>
      <c r="F121" s="3" t="s">
        <v>257</v>
      </c>
      <c r="G121" s="3" t="s">
        <v>650</v>
      </c>
      <c r="H121" s="3" t="s">
        <v>662</v>
      </c>
      <c r="I121" s="10" t="s">
        <v>137</v>
      </c>
      <c r="J121" s="5" t="str">
        <f>VLOOKUP(I121,[1]Sayfa1!$A:$C,2,0)</f>
        <v>Sağlık Bak. İlk Yardım Yön. / GSB Usul Esas.</v>
      </c>
      <c r="K121" s="5" t="str">
        <f>VLOOKUP(I121,[1]Sayfa1!$A:$C,3,0)</f>
        <v>md. 5</v>
      </c>
    </row>
    <row r="122" spans="5:11" ht="46.5" x14ac:dyDescent="0.35">
      <c r="E122" s="3">
        <v>120</v>
      </c>
      <c r="F122" s="3" t="s">
        <v>257</v>
      </c>
      <c r="G122" s="3" t="s">
        <v>650</v>
      </c>
      <c r="H122" s="3" t="s">
        <v>662</v>
      </c>
      <c r="I122" s="5" t="s">
        <v>138</v>
      </c>
      <c r="J122" s="5" t="str">
        <f>VLOOKUP(I122,[1]Sayfa1!$A:$C,2,0)</f>
        <v>Yurtlarda Alınacak Tedbirler Usul Esas.</v>
      </c>
      <c r="K122" s="5" t="str">
        <f>VLOOKUP(I122,[1]Sayfa1!$A:$C,3,0)</f>
        <v>md. 5/2</v>
      </c>
    </row>
    <row r="123" spans="5:11" ht="46.5" x14ac:dyDescent="0.35">
      <c r="E123" s="3">
        <v>121</v>
      </c>
      <c r="F123" s="3" t="s">
        <v>257</v>
      </c>
      <c r="G123" s="3" t="s">
        <v>650</v>
      </c>
      <c r="H123" s="3" t="s">
        <v>659</v>
      </c>
      <c r="I123" s="5" t="s">
        <v>139</v>
      </c>
      <c r="J123" s="5" t="str">
        <f>VLOOKUP(I123,[1]Sayfa1!$A:$C,2,0)</f>
        <v>Yurtlarda Alınacak Tedbirler Usul Esas.</v>
      </c>
      <c r="K123" s="5" t="str">
        <f>VLOOKUP(I123,[1]Sayfa1!$A:$C,3,0)</f>
        <v>md. 10/3</v>
      </c>
    </row>
    <row r="124" spans="5:11" ht="46.5" x14ac:dyDescent="0.35">
      <c r="E124" s="3">
        <v>122</v>
      </c>
      <c r="F124" s="3" t="s">
        <v>257</v>
      </c>
      <c r="G124" s="3" t="s">
        <v>669</v>
      </c>
      <c r="H124" s="3" t="s">
        <v>700</v>
      </c>
      <c r="I124" s="10" t="s">
        <v>140</v>
      </c>
      <c r="J124" s="5" t="str">
        <f>VLOOKUP(I124,[1]Sayfa1!$A:$C,2,0)</f>
        <v>Yurtlarda Alınacak Tedbirler Usul</v>
      </c>
      <c r="K124" s="5" t="str">
        <f>VLOOKUP(I124,[1]Sayfa1!$A:$C,3,0)</f>
        <v>esas.</v>
      </c>
    </row>
    <row r="125" spans="5:11" ht="46.5" x14ac:dyDescent="0.35">
      <c r="E125" s="3">
        <v>123</v>
      </c>
      <c r="F125" s="3" t="s">
        <v>257</v>
      </c>
      <c r="G125" s="3" t="s">
        <v>669</v>
      </c>
      <c r="H125" s="3" t="s">
        <v>699</v>
      </c>
      <c r="I125" s="5" t="s">
        <v>141</v>
      </c>
      <c r="J125" s="5" t="str">
        <f>VLOOKUP(I125,[1]Sayfa1!$A:$C,2,0)</f>
        <v>Yurtlarda Alınacak Tedbirler Usu</v>
      </c>
      <c r="K125" s="5" t="str">
        <f>VLOOKUP(I125,[1]Sayfa1!$A:$C,3,0)</f>
        <v>esas</v>
      </c>
    </row>
    <row r="126" spans="5:11" ht="46.5" x14ac:dyDescent="0.35">
      <c r="E126" s="3">
        <v>124</v>
      </c>
      <c r="F126" s="3" t="s">
        <v>257</v>
      </c>
      <c r="G126" s="3" t="s">
        <v>669</v>
      </c>
      <c r="H126" s="3" t="s">
        <v>702</v>
      </c>
      <c r="I126" s="10" t="s">
        <v>142</v>
      </c>
      <c r="J126" s="5" t="str">
        <f>VLOOKUP(I126,[1]Sayfa1!$A:$C,2,0)</f>
        <v>Binaların Yangından Kor. Yön.</v>
      </c>
      <c r="K126" s="5" t="str">
        <f>VLOOKUP(I126,[1]Sayfa1!$A:$C,3,0)</f>
        <v>md. 30/5</v>
      </c>
    </row>
    <row r="127" spans="5:11" ht="46.5" x14ac:dyDescent="0.35">
      <c r="E127" s="3">
        <v>125</v>
      </c>
      <c r="F127" s="3" t="s">
        <v>257</v>
      </c>
      <c r="G127" s="3" t="s">
        <v>669</v>
      </c>
      <c r="H127" s="3" t="s">
        <v>702</v>
      </c>
      <c r="I127" s="5" t="s">
        <v>143</v>
      </c>
      <c r="J127" s="5" t="str">
        <f>VLOOKUP(I127,[1]Sayfa1!$A:$C,2,0)</f>
        <v>Binaların Yangından Kor. Yön.</v>
      </c>
      <c r="K127" s="5" t="str">
        <f>VLOOKUP(I127,[1]Sayfa1!$A:$C,3,0)</f>
        <v>md. 30/5</v>
      </c>
    </row>
    <row r="128" spans="5:11" ht="46.5" x14ac:dyDescent="0.35">
      <c r="E128" s="3">
        <v>126</v>
      </c>
      <c r="F128" s="3" t="s">
        <v>257</v>
      </c>
      <c r="G128" s="3" t="s">
        <v>669</v>
      </c>
      <c r="H128" s="3" t="s">
        <v>702</v>
      </c>
      <c r="I128" s="5" t="s">
        <v>144</v>
      </c>
      <c r="J128" s="5" t="str">
        <f>VLOOKUP(I128,[1]Sayfa1!$A:$C,2,0)</f>
        <v>Binaların Yangından Kor. Yön.</v>
      </c>
      <c r="K128" s="5" t="str">
        <f>VLOOKUP(I128,[1]Sayfa1!$A:$C,3,0)</f>
        <v>md. 47</v>
      </c>
    </row>
    <row r="129" spans="5:11" ht="46.5" x14ac:dyDescent="0.35">
      <c r="E129" s="3">
        <v>127</v>
      </c>
      <c r="F129" s="3" t="s">
        <v>257</v>
      </c>
      <c r="G129" s="3" t="s">
        <v>650</v>
      </c>
      <c r="H129" s="3" t="s">
        <v>698</v>
      </c>
      <c r="I129" s="10" t="s">
        <v>145</v>
      </c>
      <c r="J129" s="5" t="str">
        <f>VLOOKUP(I129,[1]Sayfa1!$A:$C,2,0)</f>
        <v>Küçük İşletmelere İlişkin Usul Esas.</v>
      </c>
      <c r="K129" s="5" t="str">
        <f>VLOOKUP(I129,[1]Sayfa1!$A:$C,3,0)</f>
        <v>md. 17</v>
      </c>
    </row>
    <row r="130" spans="5:11" ht="46.5" x14ac:dyDescent="0.35">
      <c r="E130" s="3">
        <v>128</v>
      </c>
      <c r="F130" s="3" t="s">
        <v>257</v>
      </c>
      <c r="G130" s="3" t="s">
        <v>650</v>
      </c>
      <c r="H130" s="3" t="s">
        <v>698</v>
      </c>
      <c r="I130" s="10" t="s">
        <v>146</v>
      </c>
      <c r="J130" s="5" t="str">
        <f>VLOOKUP(I130,[1]Sayfa1!$A:$C,2,0)</f>
        <v>Küçük İşletmelere İlişkin Usul Esas.</v>
      </c>
      <c r="K130" s="5" t="str">
        <f>VLOOKUP(I130,[1]Sayfa1!$A:$C,3,0)</f>
        <v>md. 17</v>
      </c>
    </row>
    <row r="131" spans="5:11" ht="46.5" x14ac:dyDescent="0.35">
      <c r="E131" s="3">
        <v>129</v>
      </c>
      <c r="F131" s="3" t="s">
        <v>257</v>
      </c>
      <c r="G131" s="3" t="s">
        <v>669</v>
      </c>
      <c r="H131" s="3" t="s">
        <v>659</v>
      </c>
      <c r="I131" s="5" t="s">
        <v>147</v>
      </c>
      <c r="J131" s="5" t="str">
        <f>VLOOKUP(I131,[1]Sayfa1!$A:$C,2,0)</f>
        <v>Binaların Yangından Kor. Yön.</v>
      </c>
      <c r="K131" s="5" t="str">
        <f>VLOOKUP(I131,[1]Sayfa1!$A:$C,3,0)</f>
        <v>md. 47</v>
      </c>
    </row>
    <row r="132" spans="5:11" ht="46.5" x14ac:dyDescent="0.35">
      <c r="E132" s="3">
        <v>130</v>
      </c>
      <c r="F132" s="3" t="s">
        <v>257</v>
      </c>
      <c r="G132" s="3" t="s">
        <v>669</v>
      </c>
      <c r="H132" s="3" t="s">
        <v>703</v>
      </c>
      <c r="I132" s="5" t="s">
        <v>148</v>
      </c>
      <c r="J132" s="5" t="str">
        <f>VLOOKUP(I132,[1]Sayfa1!$A:$C,2,0)</f>
        <v>Binaların Yangından Kor. Yön.</v>
      </c>
      <c r="K132" s="5" t="str">
        <f>VLOOKUP(I132,[1]Sayfa1!$A:$C,3,0)</f>
        <v>md. 96/2</v>
      </c>
    </row>
    <row r="133" spans="5:11" ht="46.5" x14ac:dyDescent="0.35">
      <c r="E133" s="3">
        <v>131</v>
      </c>
      <c r="F133" s="3" t="s">
        <v>257</v>
      </c>
      <c r="G133" s="3" t="s">
        <v>669</v>
      </c>
      <c r="H133" s="3" t="s">
        <v>703</v>
      </c>
      <c r="I133" s="10" t="s">
        <v>149</v>
      </c>
      <c r="J133" s="5" t="str">
        <f>VLOOKUP(I133,[1]Sayfa1!$A:$C,2,0)</f>
        <v>Binaların Yangından Kor. Yön.</v>
      </c>
      <c r="K133" s="5" t="str">
        <f>VLOOKUP(I133,[1]Sayfa1!$A:$C,3,0)</f>
        <v>md. 96/1</v>
      </c>
    </row>
    <row r="134" spans="5:11" ht="46.5" x14ac:dyDescent="0.35">
      <c r="E134" s="3">
        <v>132</v>
      </c>
      <c r="F134" s="3" t="s">
        <v>257</v>
      </c>
      <c r="G134" s="3" t="s">
        <v>669</v>
      </c>
      <c r="H134" s="3" t="s">
        <v>703</v>
      </c>
      <c r="I134" s="5" t="s">
        <v>150</v>
      </c>
      <c r="J134" s="5" t="str">
        <f>VLOOKUP(I134,[1]Sayfa1!$A:$C,2,0)</f>
        <v>Binaların Yangından Kor. Yön.</v>
      </c>
      <c r="K134" s="5" t="str">
        <f>VLOOKUP(I134,[1]Sayfa1!$A:$C,3,0)</f>
        <v>md. 96/6</v>
      </c>
    </row>
    <row r="135" spans="5:11" ht="46.5" x14ac:dyDescent="0.35">
      <c r="E135" s="3">
        <v>133</v>
      </c>
      <c r="F135" s="3" t="s">
        <v>257</v>
      </c>
      <c r="G135" s="3" t="s">
        <v>669</v>
      </c>
      <c r="H135" s="3" t="s">
        <v>703</v>
      </c>
      <c r="I135" s="10" t="s">
        <v>151</v>
      </c>
      <c r="J135" s="5" t="str">
        <f>VLOOKUP(I135,[1]Sayfa1!$A:$C,2,0)</f>
        <v>Binaların Yangından Kor. Yön.</v>
      </c>
      <c r="K135" s="5" t="str">
        <f>VLOOKUP(I135,[1]Sayfa1!$A:$C,3,0)</f>
        <v>md. 96/8</v>
      </c>
    </row>
    <row r="136" spans="5:11" ht="46.5" x14ac:dyDescent="0.35">
      <c r="E136" s="3">
        <v>134</v>
      </c>
      <c r="F136" s="3" t="s">
        <v>257</v>
      </c>
      <c r="G136" s="3" t="s">
        <v>669</v>
      </c>
      <c r="H136" s="3" t="s">
        <v>703</v>
      </c>
      <c r="I136" s="5" t="s">
        <v>152</v>
      </c>
      <c r="J136" s="5" t="str">
        <f>VLOOKUP(I136,[1]Sayfa1!$A:$C,2,0)</f>
        <v>Binaların Yangından Kor. Yön.</v>
      </c>
      <c r="K136" s="5" t="str">
        <f>VLOOKUP(I136,[1]Sayfa1!$A:$C,3,0)</f>
        <v>md. 96/9</v>
      </c>
    </row>
    <row r="137" spans="5:11" ht="46.5" x14ac:dyDescent="0.35">
      <c r="E137" s="3">
        <v>135</v>
      </c>
      <c r="F137" s="3" t="s">
        <v>257</v>
      </c>
      <c r="G137" s="3" t="s">
        <v>669</v>
      </c>
      <c r="H137" s="3" t="s">
        <v>703</v>
      </c>
      <c r="I137" s="10" t="s">
        <v>153</v>
      </c>
      <c r="J137" s="5" t="str">
        <f>VLOOKUP(I137,[1]Sayfa1!$A:$C,2,0)</f>
        <v>Binaların Yangından Kor. Yön.</v>
      </c>
      <c r="K137" s="5" t="str">
        <f>VLOOKUP(I137,[1]Sayfa1!$A:$C,3,0)</f>
        <v>md. 96/10</v>
      </c>
    </row>
    <row r="138" spans="5:11" ht="46.5" x14ac:dyDescent="0.35">
      <c r="E138" s="3">
        <v>136</v>
      </c>
      <c r="F138" s="3" t="s">
        <v>257</v>
      </c>
      <c r="G138" s="3" t="s">
        <v>669</v>
      </c>
      <c r="H138" s="3" t="s">
        <v>704</v>
      </c>
      <c r="I138" s="10" t="s">
        <v>154</v>
      </c>
      <c r="J138" s="5" t="str">
        <f>VLOOKUP(I138,[1]Sayfa1!$A:$C,2,0)</f>
        <v>Yurtlarda Alınacak Tedbirler Usul Esas.</v>
      </c>
      <c r="K138" s="5" t="str">
        <f>VLOOKUP(I138,[1]Sayfa1!$A:$C,3,0)</f>
        <v>md. 11/d</v>
      </c>
    </row>
    <row r="139" spans="5:11" ht="31" x14ac:dyDescent="0.35">
      <c r="E139" s="3">
        <v>137</v>
      </c>
      <c r="F139" s="3" t="s">
        <v>257</v>
      </c>
      <c r="G139" s="3" t="s">
        <v>669</v>
      </c>
      <c r="H139" s="3" t="s">
        <v>704</v>
      </c>
      <c r="I139" s="10" t="s">
        <v>155</v>
      </c>
      <c r="J139" s="5" t="str">
        <f>VLOOKUP(I139,[1]Sayfa1!$A:$C,2,0)</f>
        <v>Yurtlarda Alınacak Tedbirler Usul Esas.</v>
      </c>
      <c r="K139" s="5" t="str">
        <f>VLOOKUP(I139,[1]Sayfa1!$A:$C,3,0)</f>
        <v>md. 11</v>
      </c>
    </row>
    <row r="140" spans="5:11" ht="46.5" x14ac:dyDescent="0.35">
      <c r="E140" s="3">
        <v>138</v>
      </c>
      <c r="F140" s="3" t="s">
        <v>257</v>
      </c>
      <c r="G140" s="3" t="s">
        <v>669</v>
      </c>
      <c r="H140" s="3" t="s">
        <v>705</v>
      </c>
      <c r="I140" s="10" t="s">
        <v>156</v>
      </c>
      <c r="J140" s="5" t="str">
        <f>VLOOKUP(I140,[1]Sayfa1!$A:$C,2,0)</f>
        <v>Binaların Yangından Kor. Yön.</v>
      </c>
      <c r="K140" s="5" t="str">
        <f>VLOOKUP(I140,[1]Sayfa1!$A:$C,3,0)</f>
        <v>md. 54/8</v>
      </c>
    </row>
    <row r="141" spans="5:11" ht="46.5" x14ac:dyDescent="0.35">
      <c r="E141" s="3">
        <v>139</v>
      </c>
      <c r="F141" s="3" t="s">
        <v>257</v>
      </c>
      <c r="G141" s="3" t="s">
        <v>669</v>
      </c>
      <c r="H141" s="3" t="s">
        <v>698</v>
      </c>
      <c r="I141" s="5" t="s">
        <v>157</v>
      </c>
      <c r="J141" s="5" t="str">
        <f>VLOOKUP(I141,[1]Sayfa1!$A:$C,2,0)</f>
        <v>Lokanta-Kantin İşletme Söz.</v>
      </c>
      <c r="K141" s="5" t="str">
        <f>VLOOKUP(I141,[1]Sayfa1!$A:$C,3,0)</f>
        <v>md. 21/l</v>
      </c>
    </row>
    <row r="142" spans="5:11" ht="46.5" x14ac:dyDescent="0.35">
      <c r="E142" s="3">
        <v>140</v>
      </c>
      <c r="F142" s="3" t="s">
        <v>257</v>
      </c>
      <c r="G142" s="3" t="s">
        <v>669</v>
      </c>
      <c r="H142" s="3" t="s">
        <v>698</v>
      </c>
      <c r="I142" s="5" t="s">
        <v>158</v>
      </c>
      <c r="J142" s="5">
        <f>VLOOKUP(I142,[1]Sayfa1!$A:$C,2,0)</f>
        <v>0</v>
      </c>
      <c r="K142" s="5" t="str">
        <f>VLOOKUP(I142,[1]Sayfa1!$A:$C,3,0)</f>
        <v>standartları</v>
      </c>
    </row>
    <row r="143" spans="5:11" ht="31" x14ac:dyDescent="0.35">
      <c r="E143" s="3">
        <v>141</v>
      </c>
      <c r="F143" s="3" t="s">
        <v>257</v>
      </c>
      <c r="G143" s="3" t="s">
        <v>669</v>
      </c>
      <c r="H143" s="3" t="s">
        <v>665</v>
      </c>
      <c r="I143" s="10" t="s">
        <v>159</v>
      </c>
      <c r="J143" s="5" t="str">
        <f>VLOOKUP(I143,[1]Sayfa1!$A:$C,2,0)</f>
        <v>Asansör İşletme ve Bakım Yönet</v>
      </c>
      <c r="K143" s="5" t="str">
        <f>VLOOKUP(I143,[1]Sayfa1!$A:$C,3,0)</f>
        <v>yönetmeliği</v>
      </c>
    </row>
    <row r="144" spans="5:11" ht="46.5" x14ac:dyDescent="0.35">
      <c r="E144" s="3">
        <v>142</v>
      </c>
      <c r="F144" s="3" t="s">
        <v>257</v>
      </c>
      <c r="G144" s="3" t="s">
        <v>669</v>
      </c>
      <c r="H144" s="3" t="s">
        <v>706</v>
      </c>
      <c r="I144" s="10" t="s">
        <v>160</v>
      </c>
      <c r="J144" s="5" t="str">
        <f>VLOOKUP(I144,[1]Sayfa1!$A:$C,2,0)</f>
        <v>Erişilebilirlik Mevzuatı / GSB Usul</v>
      </c>
      <c r="K144" s="5" t="str">
        <f>VLOOKUP(I144,[1]Sayfa1!$A:$C,3,0)</f>
        <v>esas.</v>
      </c>
    </row>
    <row r="145" spans="5:11" ht="46.5" x14ac:dyDescent="0.35">
      <c r="E145" s="3">
        <v>143</v>
      </c>
      <c r="F145" s="3" t="s">
        <v>257</v>
      </c>
      <c r="G145" s="3" t="s">
        <v>669</v>
      </c>
      <c r="H145" s="3" t="s">
        <v>706</v>
      </c>
      <c r="I145" s="10" t="s">
        <v>161</v>
      </c>
      <c r="J145" s="5" t="str">
        <f>VLOOKUP(I145,[1]Sayfa1!$A:$C,2,0)</f>
        <v>Yurtlarda Alınacak Tedbirler Usul Esas.</v>
      </c>
      <c r="K145" s="5" t="str">
        <f>VLOOKUP(I145,[1]Sayfa1!$A:$C,3,0)</f>
        <v>md. 10</v>
      </c>
    </row>
    <row r="146" spans="5:11" ht="46.5" x14ac:dyDescent="0.35">
      <c r="E146" s="3">
        <v>144</v>
      </c>
      <c r="F146" s="3" t="s">
        <v>257</v>
      </c>
      <c r="G146" s="3" t="s">
        <v>669</v>
      </c>
      <c r="H146" s="3" t="s">
        <v>705</v>
      </c>
      <c r="I146" s="5" t="s">
        <v>162</v>
      </c>
      <c r="J146" s="5" t="str">
        <f>VLOOKUP(I146,[1]Sayfa1!$A:$C,2,0)</f>
        <v>Binaların Yangından Kor. Yön.</v>
      </c>
      <c r="K146" s="5" t="str">
        <f>VLOOKUP(I146,[1]Sayfa1!$A:$C,3,0)</f>
        <v>yön. / iş sağlığı güv.</v>
      </c>
    </row>
    <row r="147" spans="5:11" ht="46.5" x14ac:dyDescent="0.35">
      <c r="E147" s="3">
        <v>145</v>
      </c>
      <c r="F147" s="3" t="s">
        <v>257</v>
      </c>
      <c r="G147" s="3" t="s">
        <v>669</v>
      </c>
      <c r="H147" s="3" t="s">
        <v>700</v>
      </c>
      <c r="I147" s="5" t="s">
        <v>163</v>
      </c>
      <c r="J147" s="5">
        <f>VLOOKUP(I147,[1]Sayfa1!$A:$C,2,0)</f>
        <v>0</v>
      </c>
      <c r="K147" s="5" t="str">
        <f>VLOOKUP(I147,[1]Sayfa1!$A:$C,3,0)</f>
        <v>talimatı</v>
      </c>
    </row>
    <row r="148" spans="5:11" ht="31" x14ac:dyDescent="0.35">
      <c r="E148" s="3">
        <v>146</v>
      </c>
      <c r="F148" s="3" t="s">
        <v>257</v>
      </c>
      <c r="G148" s="3" t="s">
        <v>650</v>
      </c>
      <c r="H148" s="3" t="s">
        <v>707</v>
      </c>
      <c r="I148" s="10" t="s">
        <v>164</v>
      </c>
      <c r="J148" s="5">
        <f>VLOOKUP(I148,[1]Sayfa1!$A:$C,2,0)</f>
        <v>0</v>
      </c>
      <c r="K148" s="5" t="str">
        <f>VLOOKUP(I148,[1]Sayfa1!$A:$C,3,0)</f>
        <v>standartları</v>
      </c>
    </row>
    <row r="149" spans="5:11" ht="31" x14ac:dyDescent="0.35">
      <c r="E149" s="3">
        <v>147</v>
      </c>
      <c r="F149" s="3" t="s">
        <v>257</v>
      </c>
      <c r="G149" s="3" t="s">
        <v>669</v>
      </c>
      <c r="H149" s="3" t="s">
        <v>700</v>
      </c>
      <c r="I149" s="5" t="s">
        <v>165</v>
      </c>
      <c r="J149" s="5" t="str">
        <f>VLOOKUP(I149,[1]Sayfa1!$A:$C,2,0)</f>
        <v>İş Sağlığı ve Güvenliği Me</v>
      </c>
      <c r="K149" s="5" t="str">
        <f>VLOOKUP(I149,[1]Sayfa1!$A:$C,3,0)</f>
        <v>mevzuatı</v>
      </c>
    </row>
    <row r="150" spans="5:11" ht="46.5" x14ac:dyDescent="0.35">
      <c r="E150" s="3">
        <v>148</v>
      </c>
      <c r="F150" s="3" t="s">
        <v>257</v>
      </c>
      <c r="G150" s="3" t="s">
        <v>669</v>
      </c>
      <c r="H150" s="3" t="s">
        <v>659</v>
      </c>
      <c r="I150" s="5" t="s">
        <v>166</v>
      </c>
      <c r="J150" s="5">
        <f>VLOOKUP(I150,[1]Sayfa1!$A:$C,2,0)</f>
        <v>0</v>
      </c>
      <c r="K150" s="5" t="str">
        <f>VLOOKUP(I150,[1]Sayfa1!$A:$C,3,0)</f>
        <v>yön.</v>
      </c>
    </row>
    <row r="151" spans="5:11" ht="46.5" x14ac:dyDescent="0.35">
      <c r="E151" s="3">
        <v>149</v>
      </c>
      <c r="F151" s="3" t="s">
        <v>257</v>
      </c>
      <c r="G151" s="3" t="s">
        <v>669</v>
      </c>
      <c r="H151" s="3" t="s">
        <v>700</v>
      </c>
      <c r="I151" s="5" t="s">
        <v>167</v>
      </c>
      <c r="J151" s="5" t="str">
        <f>VLOOKUP(I151,[1]Sayfa1!$A:$C,2,0)</f>
        <v>Sığınak Yönetmeliği / Yangı</v>
      </c>
      <c r="K151" s="5" t="str">
        <f>VLOOKUP(I151,[1]Sayfa1!$A:$C,3,0)</f>
        <v>yön.</v>
      </c>
    </row>
    <row r="152" spans="5:11" ht="46.5" x14ac:dyDescent="0.35">
      <c r="E152" s="3">
        <v>150</v>
      </c>
      <c r="F152" s="3" t="s">
        <v>257</v>
      </c>
      <c r="G152" s="3" t="s">
        <v>669</v>
      </c>
      <c r="H152" s="3" t="s">
        <v>700</v>
      </c>
      <c r="I152" s="10" t="s">
        <v>168</v>
      </c>
      <c r="J152" s="5" t="str">
        <f>VLOOKUP(I152,[1]Sayfa1!$A:$C,2,0)</f>
        <v>Yurtlarda Alınacak Tedbirler Usul</v>
      </c>
      <c r="K152" s="5" t="str">
        <f>VLOOKUP(I152,[1]Sayfa1!$A:$C,3,0)</f>
        <v>esas.</v>
      </c>
    </row>
    <row r="153" spans="5:11" ht="31" x14ac:dyDescent="0.35">
      <c r="E153" s="3">
        <v>151</v>
      </c>
      <c r="F153" s="3" t="s">
        <v>257</v>
      </c>
      <c r="G153" s="3" t="s">
        <v>669</v>
      </c>
      <c r="H153" s="3" t="s">
        <v>698</v>
      </c>
      <c r="I153" s="10" t="s">
        <v>169</v>
      </c>
      <c r="J153" s="5">
        <f>VLOOKUP(I153,[1]Sayfa1!$A:$C,2,0)</f>
        <v>0</v>
      </c>
      <c r="K153" s="5" t="str">
        <f>VLOOKUP(I153,[1]Sayfa1!$A:$C,3,0)</f>
        <v>standartları</v>
      </c>
    </row>
    <row r="154" spans="5:11" ht="46.5" x14ac:dyDescent="0.35">
      <c r="E154" s="3">
        <v>152</v>
      </c>
      <c r="F154" s="3" t="s">
        <v>257</v>
      </c>
      <c r="G154" s="3" t="s">
        <v>669</v>
      </c>
      <c r="H154" s="3" t="s">
        <v>698</v>
      </c>
      <c r="I154" s="5" t="s">
        <v>170</v>
      </c>
      <c r="J154" s="5">
        <f>VLOOKUP(I154,[1]Sayfa1!$A:$C,2,0)</f>
        <v>0</v>
      </c>
      <c r="K154" s="5" t="str">
        <f>VLOOKUP(I154,[1]Sayfa1!$A:$C,3,0)</f>
        <v>standartları</v>
      </c>
    </row>
    <row r="155" spans="5:11" ht="46.5" x14ac:dyDescent="0.35">
      <c r="E155" s="3">
        <v>153</v>
      </c>
      <c r="F155" s="3" t="s">
        <v>257</v>
      </c>
      <c r="G155" s="3" t="s">
        <v>669</v>
      </c>
      <c r="H155" s="3" t="s">
        <v>698</v>
      </c>
      <c r="I155" s="10" t="s">
        <v>171</v>
      </c>
      <c r="J155" s="5">
        <f>VLOOKUP(I155,[1]Sayfa1!$A:$C,2,0)</f>
        <v>0</v>
      </c>
      <c r="K155" s="5" t="str">
        <f>VLOOKUP(I155,[1]Sayfa1!$A:$C,3,0)</f>
        <v>standartları</v>
      </c>
    </row>
    <row r="156" spans="5:11" ht="31" x14ac:dyDescent="0.35">
      <c r="E156" s="3">
        <v>154</v>
      </c>
      <c r="F156" s="3" t="s">
        <v>257</v>
      </c>
      <c r="G156" s="3" t="s">
        <v>669</v>
      </c>
      <c r="H156" s="3" t="s">
        <v>698</v>
      </c>
      <c r="I156" s="10" t="s">
        <v>172</v>
      </c>
      <c r="J156" s="5">
        <f>VLOOKUP(I156,[1]Sayfa1!$A:$C,2,0)</f>
        <v>0</v>
      </c>
      <c r="K156" s="5" t="str">
        <f>VLOOKUP(I156,[1]Sayfa1!$A:$C,3,0)</f>
        <v>standartları</v>
      </c>
    </row>
    <row r="157" spans="5:11" ht="31" x14ac:dyDescent="0.35">
      <c r="E157" s="3">
        <v>155</v>
      </c>
      <c r="F157" s="3" t="s">
        <v>257</v>
      </c>
      <c r="G157" s="3" t="s">
        <v>669</v>
      </c>
      <c r="H157" s="3" t="s">
        <v>698</v>
      </c>
      <c r="I157" s="5" t="s">
        <v>173</v>
      </c>
      <c r="J157" s="5" t="str">
        <f>VLOOKUP(I157,[1]Sayfa1!$A:$C,2,0)</f>
        <v>Lokanta-Kantin İşletme Söz.</v>
      </c>
      <c r="K157" s="5" t="str">
        <f>VLOOKUP(I157,[1]Sayfa1!$A:$C,3,0)</f>
        <v>md. 21/g</v>
      </c>
    </row>
    <row r="158" spans="5:11" ht="46.5" x14ac:dyDescent="0.35">
      <c r="E158" s="3">
        <v>156</v>
      </c>
      <c r="F158" s="3" t="s">
        <v>257</v>
      </c>
      <c r="G158" s="3" t="s">
        <v>669</v>
      </c>
      <c r="H158" s="3" t="s">
        <v>708</v>
      </c>
      <c r="I158" s="10" t="s">
        <v>174</v>
      </c>
      <c r="J158" s="5" t="str">
        <f>VLOOKUP(I158,[1]Sayfa1!$A:$C,2,0)</f>
        <v>Yurtlarda Alınacak Tedbirler Usul</v>
      </c>
      <c r="K158" s="5" t="str">
        <f>VLOOKUP(I158,[1]Sayfa1!$A:$C,3,0)</f>
        <v>esas.</v>
      </c>
    </row>
    <row r="159" spans="5:11" ht="46.5" x14ac:dyDescent="0.35">
      <c r="E159" s="3">
        <v>157</v>
      </c>
      <c r="F159" s="3" t="s">
        <v>257</v>
      </c>
      <c r="G159" s="3" t="s">
        <v>669</v>
      </c>
      <c r="H159" s="3" t="s">
        <v>698</v>
      </c>
      <c r="I159" s="5" t="s">
        <v>175</v>
      </c>
      <c r="J159" s="5" t="str">
        <f>VLOOKUP(I159,[1]Sayfa1!$A:$C,2,0)</f>
        <v>Yangın Önleme ve Sön. Tal.</v>
      </c>
      <c r="K159" s="5" t="str">
        <f>VLOOKUP(I159,[1]Sayfa1!$A:$C,3,0)</f>
        <v>md. 25/1</v>
      </c>
    </row>
    <row r="160" spans="5:11" ht="46.5" x14ac:dyDescent="0.35">
      <c r="E160" s="3">
        <v>158</v>
      </c>
      <c r="F160" s="3" t="s">
        <v>257</v>
      </c>
      <c r="G160" s="3" t="s">
        <v>669</v>
      </c>
      <c r="H160" s="3" t="s">
        <v>698</v>
      </c>
      <c r="I160" s="5" t="s">
        <v>176</v>
      </c>
      <c r="J160" s="5" t="str">
        <f>VLOOKUP(I160,[1]Sayfa1!$A:$C,2,0)</f>
        <v>Küçük İşletmelere İlişkin Usul Esas.</v>
      </c>
      <c r="K160" s="5" t="str">
        <f>VLOOKUP(I160,[1]Sayfa1!$A:$C,3,0)</f>
        <v>md. 24/b</v>
      </c>
    </row>
    <row r="161" spans="5:11" ht="46.5" x14ac:dyDescent="0.35">
      <c r="E161" s="3">
        <v>159</v>
      </c>
      <c r="F161" s="3" t="s">
        <v>257</v>
      </c>
      <c r="G161" s="3" t="s">
        <v>669</v>
      </c>
      <c r="H161" s="3" t="s">
        <v>698</v>
      </c>
      <c r="I161" s="10" t="s">
        <v>177</v>
      </c>
      <c r="J161" s="5" t="str">
        <f>VLOOKUP(I161,[1]Sayfa1!$A:$C,2,0)</f>
        <v>Lokanta-Kantin İşletme Söz.</v>
      </c>
      <c r="K161" s="5" t="str">
        <f>VLOOKUP(I161,[1]Sayfa1!$A:$C,3,0)</f>
        <v>md. 21/t</v>
      </c>
    </row>
    <row r="162" spans="5:11" ht="46.5" x14ac:dyDescent="0.35">
      <c r="E162" s="3">
        <v>160</v>
      </c>
      <c r="F162" s="3" t="s">
        <v>257</v>
      </c>
      <c r="G162" s="3" t="s">
        <v>669</v>
      </c>
      <c r="H162" s="3" t="s">
        <v>700</v>
      </c>
      <c r="I162" s="10" t="s">
        <v>178</v>
      </c>
      <c r="J162" s="5" t="str">
        <f>VLOOKUP(I162,[1]Sayfa1!$A:$C,2,0)</f>
        <v>Yurtlarda Alınacak Tedbirler Usul Esas.</v>
      </c>
      <c r="K162" s="5" t="str">
        <f>VLOOKUP(I162,[1]Sayfa1!$A:$C,3,0)</f>
        <v>md. 6</v>
      </c>
    </row>
    <row r="163" spans="5:11" ht="46.5" x14ac:dyDescent="0.35">
      <c r="E163" s="3">
        <v>161</v>
      </c>
      <c r="F163" s="3" t="s">
        <v>257</v>
      </c>
      <c r="G163" s="3" t="s">
        <v>669</v>
      </c>
      <c r="H163" s="3" t="s">
        <v>699</v>
      </c>
      <c r="I163" s="5" t="s">
        <v>179</v>
      </c>
      <c r="J163" s="5" t="str">
        <f>VLOOKUP(I163,[1]Sayfa1!$A:$C,2,0)</f>
        <v>Yurtlarda Alınacak Tedbirler Usul Esas.</v>
      </c>
      <c r="K163" s="5" t="str">
        <f>VLOOKUP(I163,[1]Sayfa1!$A:$C,3,0)</f>
        <v>md. 16/11</v>
      </c>
    </row>
    <row r="164" spans="5:11" ht="46.5" x14ac:dyDescent="0.35">
      <c r="E164" s="3">
        <v>162</v>
      </c>
      <c r="F164" s="3" t="s">
        <v>257</v>
      </c>
      <c r="G164" s="3" t="s">
        <v>669</v>
      </c>
      <c r="H164" s="3" t="s">
        <v>659</v>
      </c>
      <c r="I164" s="5" t="s">
        <v>180</v>
      </c>
      <c r="J164" s="5" t="str">
        <f>VLOOKUP(I164,[1]Sayfa1!$A:$C,2,0)</f>
        <v>Yangın Önleme ve Sön. Tal.</v>
      </c>
      <c r="K164" s="5" t="str">
        <f>VLOOKUP(I164,[1]Sayfa1!$A:$C,3,0)</f>
        <v>md. 43/1</v>
      </c>
    </row>
    <row r="165" spans="5:11" ht="31" x14ac:dyDescent="0.35">
      <c r="E165" s="3">
        <v>163</v>
      </c>
      <c r="F165" s="3" t="s">
        <v>257</v>
      </c>
      <c r="G165" s="3" t="s">
        <v>669</v>
      </c>
      <c r="H165" s="3" t="s">
        <v>705</v>
      </c>
      <c r="I165" s="10" t="s">
        <v>181</v>
      </c>
      <c r="J165" s="5" t="str">
        <f>VLOOKUP(I165,[1]Sayfa1!$A:$C,2,0)</f>
        <v>Yangın Önleme ve Sön. Tal.</v>
      </c>
      <c r="K165" s="5" t="str">
        <f>VLOOKUP(I165,[1]Sayfa1!$A:$C,3,0)</f>
        <v>md. 22/2</v>
      </c>
    </row>
    <row r="166" spans="5:11" ht="46.5" x14ac:dyDescent="0.35">
      <c r="E166" s="3">
        <v>164</v>
      </c>
      <c r="F166" s="3" t="s">
        <v>257</v>
      </c>
      <c r="G166" s="3" t="s">
        <v>650</v>
      </c>
      <c r="H166" s="3" t="s">
        <v>709</v>
      </c>
      <c r="I166" s="10" t="s">
        <v>182</v>
      </c>
      <c r="J166" s="5" t="str">
        <f>VLOOKUP(I166,[1]Sayfa1!$A:$C,2,0)</f>
        <v>Yurtlarda Alınacak Tedbirler Usul Esas.</v>
      </c>
      <c r="K166" s="5" t="str">
        <f>VLOOKUP(I166,[1]Sayfa1!$A:$C,3,0)</f>
        <v>md. 13/c</v>
      </c>
    </row>
    <row r="167" spans="5:11" ht="46.5" x14ac:dyDescent="0.35">
      <c r="E167" s="3">
        <v>165</v>
      </c>
      <c r="F167" s="3" t="s">
        <v>257</v>
      </c>
      <c r="G167" s="3" t="s">
        <v>669</v>
      </c>
      <c r="H167" s="3" t="s">
        <v>665</v>
      </c>
      <c r="I167" s="10" t="s">
        <v>183</v>
      </c>
      <c r="J167" s="5" t="str">
        <f>VLOOKUP(I167,[1]Sayfa1!$A:$C,2,0)</f>
        <v>Binaların Yangından Kor. Yön.</v>
      </c>
      <c r="K167" s="5" t="str">
        <f>VLOOKUP(I167,[1]Sayfa1!$A:$C,3,0)</f>
        <v>md. 62</v>
      </c>
    </row>
    <row r="168" spans="5:11" ht="46.5" x14ac:dyDescent="0.35">
      <c r="E168" s="3">
        <v>166</v>
      </c>
      <c r="F168" s="3" t="s">
        <v>257</v>
      </c>
      <c r="G168" s="3" t="s">
        <v>669</v>
      </c>
      <c r="H168" s="3" t="s">
        <v>698</v>
      </c>
      <c r="I168" s="5" t="s">
        <v>184</v>
      </c>
      <c r="J168" s="5" t="str">
        <f>VLOOKUP(I168,[1]Sayfa1!$A:$C,2,0)</f>
        <v>Bitkisel Atık Yağların Kont. Yön.</v>
      </c>
      <c r="K168" s="5" t="str">
        <f>VLOOKUP(I168,[1]Sayfa1!$A:$C,3,0)</f>
        <v>md. 5-10</v>
      </c>
    </row>
    <row r="169" spans="5:11" ht="46.5" x14ac:dyDescent="0.35">
      <c r="E169" s="3">
        <v>167</v>
      </c>
      <c r="F169" s="3" t="s">
        <v>257</v>
      </c>
      <c r="G169" s="3" t="s">
        <v>650</v>
      </c>
      <c r="H169" s="3" t="s">
        <v>710</v>
      </c>
      <c r="I169" s="10" t="s">
        <v>185</v>
      </c>
      <c r="J169" s="5" t="str">
        <f>VLOOKUP(I169,[1]Sayfa1!$A:$C,2,0)</f>
        <v>Yurtlarda Alınacak Tedbirler Usul Esas.</v>
      </c>
      <c r="K169" s="5" t="str">
        <f>VLOOKUP(I169,[1]Sayfa1!$A:$C,3,0)</f>
        <v>md. 10/11</v>
      </c>
    </row>
    <row r="170" spans="5:11" ht="46.5" x14ac:dyDescent="0.35">
      <c r="E170" s="3">
        <v>168</v>
      </c>
      <c r="F170" s="3" t="s">
        <v>257</v>
      </c>
      <c r="G170" s="3" t="s">
        <v>669</v>
      </c>
      <c r="H170" s="3" t="s">
        <v>711</v>
      </c>
      <c r="I170" s="10" t="s">
        <v>186</v>
      </c>
      <c r="J170" s="5" t="str">
        <f>VLOOKUP(I170,[1]Sayfa1!$A:$C,2,0)</f>
        <v>Yurtlarda Alınacak Tedbirler Usul Esas.</v>
      </c>
      <c r="K170" s="5" t="str">
        <f>VLOOKUP(I170,[1]Sayfa1!$A:$C,3,0)</f>
        <v>md. 10</v>
      </c>
    </row>
    <row r="171" spans="5:11" ht="46.5" x14ac:dyDescent="0.35">
      <c r="E171" s="3">
        <v>169</v>
      </c>
      <c r="F171" s="3" t="s">
        <v>257</v>
      </c>
      <c r="G171" s="3" t="s">
        <v>669</v>
      </c>
      <c r="H171" s="3" t="s">
        <v>659</v>
      </c>
      <c r="I171" s="10" t="s">
        <v>187</v>
      </c>
      <c r="J171" s="5" t="str">
        <f>VLOOKUP(I171,[1]Sayfa1!$A:$C,2,0)</f>
        <v>Binaların Yangından Kor. Yön.</v>
      </c>
      <c r="K171" s="5" t="str">
        <f>VLOOKUP(I171,[1]Sayfa1!$A:$C,3,0)</f>
        <v>md. 75</v>
      </c>
    </row>
    <row r="172" spans="5:11" ht="31" x14ac:dyDescent="0.35">
      <c r="E172" s="3">
        <v>170</v>
      </c>
      <c r="F172" s="3" t="s">
        <v>257</v>
      </c>
      <c r="G172" s="3" t="s">
        <v>669</v>
      </c>
      <c r="H172" s="3" t="s">
        <v>659</v>
      </c>
      <c r="I172" s="5" t="s">
        <v>188</v>
      </c>
      <c r="J172" s="5" t="str">
        <f>VLOOKUP(I172,[1]Sayfa1!$A:$C,2,0)</f>
        <v xml:space="preserve">Yangın Önleme ve Söndürme Yönergesi </v>
      </c>
      <c r="K172" s="5" t="str">
        <f>VLOOKUP(I172,[1]Sayfa1!$A:$C,3,0)</f>
        <v>md. 54</v>
      </c>
    </row>
    <row r="173" spans="5:11" ht="46.5" x14ac:dyDescent="0.35">
      <c r="E173" s="3">
        <v>171</v>
      </c>
      <c r="F173" s="3" t="s">
        <v>257</v>
      </c>
      <c r="G173" s="3" t="s">
        <v>669</v>
      </c>
      <c r="H173" s="3" t="s">
        <v>659</v>
      </c>
      <c r="I173" s="10" t="s">
        <v>189</v>
      </c>
      <c r="J173" s="5" t="str">
        <f>VLOOKUP(I173,[1]Sayfa1!$A:$C,2,0)</f>
        <v>Binaların Yangından Kor. Yön.</v>
      </c>
      <c r="K173" s="5" t="str">
        <f>VLOOKUP(I173,[1]Sayfa1!$A:$C,3,0)</f>
        <v>md. 75</v>
      </c>
    </row>
    <row r="174" spans="5:11" ht="46.5" x14ac:dyDescent="0.35">
      <c r="E174" s="3">
        <v>172</v>
      </c>
      <c r="F174" s="3" t="s">
        <v>257</v>
      </c>
      <c r="G174" s="3" t="s">
        <v>669</v>
      </c>
      <c r="H174" s="3" t="s">
        <v>698</v>
      </c>
      <c r="I174" s="5" t="s">
        <v>190</v>
      </c>
      <c r="J174" s="5" t="str">
        <f>VLOOKUP(I174,[1]Sayfa1!$A:$C,2,0)</f>
        <v>Küçük İşletmelere İlişkin Usul Esas.</v>
      </c>
      <c r="K174" s="5" t="str">
        <f>VLOOKUP(I174,[1]Sayfa1!$A:$C,3,0)</f>
        <v>md. 25/o</v>
      </c>
    </row>
    <row r="175" spans="5:11" ht="46.5" x14ac:dyDescent="0.35">
      <c r="E175" s="3">
        <v>173</v>
      </c>
      <c r="F175" s="3" t="s">
        <v>257</v>
      </c>
      <c r="G175" s="3" t="s">
        <v>650</v>
      </c>
      <c r="H175" s="3" t="s">
        <v>698</v>
      </c>
      <c r="I175" s="5" t="s">
        <v>191</v>
      </c>
      <c r="J175" s="5" t="str">
        <f>VLOOKUP(I175,[1]Sayfa1!$A:$C,2,0)</f>
        <v>Kızartma Yağları İçin Hijyen Kurallar</v>
      </c>
      <c r="K175" s="5" t="str">
        <f>VLOOKUP(I175,[1]Sayfa1!$A:$C,3,0)</f>
        <v>yön.</v>
      </c>
    </row>
    <row r="176" spans="5:11" ht="46.5" x14ac:dyDescent="0.35">
      <c r="E176" s="3">
        <v>174</v>
      </c>
      <c r="F176" s="3" t="s">
        <v>257</v>
      </c>
      <c r="G176" s="3" t="s">
        <v>650</v>
      </c>
      <c r="H176" s="3" t="s">
        <v>698</v>
      </c>
      <c r="I176" s="5" t="s">
        <v>192</v>
      </c>
      <c r="J176" s="5" t="str">
        <f>VLOOKUP(I176,[1]Sayfa1!$A:$C,2,0)</f>
        <v>Kızartma Yağları İçin Hijyen Kurallar</v>
      </c>
      <c r="K176" s="5" t="str">
        <f>VLOOKUP(I176,[1]Sayfa1!$A:$C,3,0)</f>
        <v>yön.</v>
      </c>
    </row>
    <row r="177" spans="5:11" ht="46.5" x14ac:dyDescent="0.35">
      <c r="E177" s="3">
        <v>175</v>
      </c>
      <c r="F177" s="3" t="s">
        <v>257</v>
      </c>
      <c r="G177" s="3" t="s">
        <v>669</v>
      </c>
      <c r="H177" s="3" t="s">
        <v>710</v>
      </c>
      <c r="I177" s="5" t="s">
        <v>193</v>
      </c>
      <c r="J177" s="5" t="str">
        <f>VLOOKUP(I177,[1]Sayfa1!$A:$C,2,0)</f>
        <v>Yurtlarda Alınacak Tedbirler Usul Esas.</v>
      </c>
      <c r="K177" s="5" t="str">
        <f>VLOOKUP(I177,[1]Sayfa1!$A:$C,3,0)</f>
        <v>md. 10/11</v>
      </c>
    </row>
    <row r="178" spans="5:11" ht="46.5" x14ac:dyDescent="0.35">
      <c r="E178" s="3">
        <v>176</v>
      </c>
      <c r="F178" s="3" t="s">
        <v>257</v>
      </c>
      <c r="G178" s="3" t="s">
        <v>669</v>
      </c>
      <c r="H178" s="3" t="s">
        <v>700</v>
      </c>
      <c r="I178" s="5" t="s">
        <v>194</v>
      </c>
      <c r="J178" s="5" t="str">
        <f>VLOOKUP(I178,[1]Sayfa1!$A:$C,2,0)</f>
        <v>Yurtlarda Alınacak Tedbirler Usul Esas.</v>
      </c>
      <c r="K178" s="5" t="str">
        <f>VLOOKUP(I178,[1]Sayfa1!$A:$C,3,0)</f>
        <v>md. 8</v>
      </c>
    </row>
    <row r="179" spans="5:11" ht="46.5" x14ac:dyDescent="0.35">
      <c r="E179" s="3">
        <v>177</v>
      </c>
      <c r="F179" s="3" t="s">
        <v>257</v>
      </c>
      <c r="G179" s="3" t="s">
        <v>650</v>
      </c>
      <c r="H179" s="3" t="s">
        <v>698</v>
      </c>
      <c r="I179" s="5" t="s">
        <v>195</v>
      </c>
      <c r="J179" s="5" t="str">
        <f>VLOOKUP(I179,[1]Sayfa1!$A:$C,2,0)</f>
        <v>Küçük İşletmelere İlişkin Usul Esas.</v>
      </c>
      <c r="K179" s="5" t="str">
        <f>VLOOKUP(I179,[1]Sayfa1!$A:$C,3,0)</f>
        <v>md. 25/ı</v>
      </c>
    </row>
    <row r="180" spans="5:11" ht="46.5" x14ac:dyDescent="0.35">
      <c r="E180" s="3">
        <v>178</v>
      </c>
      <c r="F180" s="3" t="s">
        <v>257</v>
      </c>
      <c r="G180" s="3" t="s">
        <v>669</v>
      </c>
      <c r="H180" s="3" t="s">
        <v>698</v>
      </c>
      <c r="I180" s="10" t="s">
        <v>196</v>
      </c>
      <c r="J180" s="5" t="str">
        <f>VLOOKUP(I180,[1]Sayfa1!$A:$C,2,0)</f>
        <v>Küçük İşletmelere İlişkin Usul Esas.</v>
      </c>
      <c r="K180" s="5" t="str">
        <f>VLOOKUP(I180,[1]Sayfa1!$A:$C,3,0)</f>
        <v>md. 25/i</v>
      </c>
    </row>
    <row r="181" spans="5:11" ht="46.5" x14ac:dyDescent="0.35">
      <c r="E181" s="3">
        <v>179</v>
      </c>
      <c r="F181" s="3" t="s">
        <v>257</v>
      </c>
      <c r="G181" s="3" t="s">
        <v>650</v>
      </c>
      <c r="H181" s="3" t="s">
        <v>698</v>
      </c>
      <c r="I181" s="5" t="s">
        <v>197</v>
      </c>
      <c r="J181" s="5" t="str">
        <f>VLOOKUP(I181,[1]Sayfa1!$A:$C,2,0)</f>
        <v>Yurtlarda Alınacak Tedbirler Usul Esas.</v>
      </c>
      <c r="K181" s="5" t="str">
        <f>VLOOKUP(I181,[1]Sayfa1!$A:$C,3,0)</f>
        <v>md. 11/14</v>
      </c>
    </row>
    <row r="182" spans="5:11" ht="46.5" x14ac:dyDescent="0.35">
      <c r="E182" s="3">
        <v>180</v>
      </c>
      <c r="F182" s="3" t="s">
        <v>257</v>
      </c>
      <c r="G182" s="3" t="s">
        <v>650</v>
      </c>
      <c r="H182" s="3" t="s">
        <v>698</v>
      </c>
      <c r="I182" s="5" t="s">
        <v>198</v>
      </c>
      <c r="J182" s="5" t="str">
        <f>VLOOKUP(I182,[1]Sayfa1!$A:$C,2,0)</f>
        <v>Lokanta-Kantin İşletme Söz.</v>
      </c>
      <c r="K182" s="5" t="str">
        <f>VLOOKUP(I182,[1]Sayfa1!$A:$C,3,0)</f>
        <v>md. 21/z</v>
      </c>
    </row>
    <row r="183" spans="5:11" ht="46.5" x14ac:dyDescent="0.35">
      <c r="E183" s="3">
        <v>181</v>
      </c>
      <c r="F183" s="3" t="s">
        <v>257</v>
      </c>
      <c r="G183" s="3" t="s">
        <v>650</v>
      </c>
      <c r="H183" s="3" t="s">
        <v>698</v>
      </c>
      <c r="I183" s="10" t="s">
        <v>199</v>
      </c>
      <c r="J183" s="5" t="str">
        <f>VLOOKUP(I183,[1]Sayfa1!$A:$C,2,0)</f>
        <v>Sosyal Sigortalar ve GSS Kanunu / Sö</v>
      </c>
      <c r="K183" s="5" t="str">
        <f>VLOOKUP(I183,[1]Sayfa1!$A:$C,3,0)</f>
        <v>sözleşme</v>
      </c>
    </row>
    <row r="184" spans="5:11" ht="46.5" x14ac:dyDescent="0.35">
      <c r="E184" s="3">
        <v>182</v>
      </c>
      <c r="F184" s="3" t="s">
        <v>257</v>
      </c>
      <c r="G184" s="3" t="s">
        <v>650</v>
      </c>
      <c r="H184" s="3" t="s">
        <v>711</v>
      </c>
      <c r="I184" s="5" t="s">
        <v>200</v>
      </c>
      <c r="J184" s="5" t="str">
        <f>VLOOKUP(I184,[1]Sayfa1!$A:$C,2,0)</f>
        <v>Yurtlarda Alınacak Tedbirler Usul Esas.</v>
      </c>
      <c r="K184" s="5" t="str">
        <f>VLOOKUP(I184,[1]Sayfa1!$A:$C,3,0)</f>
        <v>md. 10/6</v>
      </c>
    </row>
    <row r="185" spans="5:11" ht="46.5" x14ac:dyDescent="0.35">
      <c r="E185" s="3">
        <v>183</v>
      </c>
      <c r="F185" s="3" t="s">
        <v>257</v>
      </c>
      <c r="G185" s="3" t="s">
        <v>650</v>
      </c>
      <c r="H185" s="3" t="s">
        <v>698</v>
      </c>
      <c r="I185" s="5" t="s">
        <v>201</v>
      </c>
      <c r="J185" s="5" t="str">
        <f>VLOOKUP(I185,[1]Sayfa1!$A:$C,2,0)</f>
        <v>Lokanta-Kantin İşletme Söz.</v>
      </c>
      <c r="K185" s="5" t="str">
        <f>VLOOKUP(I185,[1]Sayfa1!$A:$C,3,0)</f>
        <v>md. 5-ı</v>
      </c>
    </row>
    <row r="186" spans="5:11" ht="46.5" x14ac:dyDescent="0.35">
      <c r="E186" s="3">
        <v>184</v>
      </c>
      <c r="F186" s="3" t="s">
        <v>257</v>
      </c>
      <c r="G186" s="3" t="s">
        <v>669</v>
      </c>
      <c r="H186" s="3" t="s">
        <v>698</v>
      </c>
      <c r="I186" s="5" t="s">
        <v>202</v>
      </c>
      <c r="J186" s="5">
        <f>VLOOKUP(I186,[1]Sayfa1!$A:$C,2,0)</f>
        <v>0</v>
      </c>
      <c r="K186" s="5" t="str">
        <f>VLOOKUP(I186,[1]Sayfa1!$A:$C,3,0)</f>
        <v>talimatları</v>
      </c>
    </row>
    <row r="187" spans="5:11" ht="46.5" x14ac:dyDescent="0.35">
      <c r="E187" s="3">
        <v>185</v>
      </c>
      <c r="F187" s="3" t="s">
        <v>257</v>
      </c>
      <c r="G187" s="3" t="s">
        <v>650</v>
      </c>
      <c r="H187" s="3" t="s">
        <v>698</v>
      </c>
      <c r="I187" s="10" t="s">
        <v>203</v>
      </c>
      <c r="J187" s="5" t="str">
        <f>VLOOKUP(I187,[1]Sayfa1!$A:$C,2,0)</f>
        <v>Küçük İşletmelere İlişkin Usul Esas.</v>
      </c>
      <c r="K187" s="5" t="str">
        <f>VLOOKUP(I187,[1]Sayfa1!$A:$C,3,0)</f>
        <v>md. 13/a</v>
      </c>
    </row>
    <row r="188" spans="5:11" ht="46.5" x14ac:dyDescent="0.35">
      <c r="E188" s="3">
        <v>186</v>
      </c>
      <c r="F188" s="3" t="s">
        <v>257</v>
      </c>
      <c r="G188" s="3" t="s">
        <v>650</v>
      </c>
      <c r="H188" s="3" t="s">
        <v>664</v>
      </c>
      <c r="I188" s="5" t="s">
        <v>204</v>
      </c>
      <c r="J188" s="5" t="str">
        <f>VLOOKUP(I188,[1]Sayfa1!$A:$C,2,0)</f>
        <v>GSB Konaklama Usul ve Esaslar M</v>
      </c>
      <c r="K188" s="5" t="str">
        <f>VLOOKUP(I188,[1]Sayfa1!$A:$C,3,0)</f>
        <v>md. 5-8</v>
      </c>
    </row>
    <row r="189" spans="5:11" ht="46.5" x14ac:dyDescent="0.35">
      <c r="E189" s="3">
        <v>187</v>
      </c>
      <c r="F189" s="3" t="s">
        <v>257</v>
      </c>
      <c r="G189" s="3" t="s">
        <v>650</v>
      </c>
      <c r="H189" s="3" t="s">
        <v>664</v>
      </c>
      <c r="I189" s="5" t="s">
        <v>205</v>
      </c>
      <c r="J189" s="5">
        <f>VLOOKUP(I189,[1]Sayfa1!$A:$C,2,0)</f>
        <v>0</v>
      </c>
      <c r="K189" s="5" t="str">
        <f>VLOOKUP(I189,[1]Sayfa1!$A:$C,3,0)</f>
        <v>yönetmeliği</v>
      </c>
    </row>
    <row r="190" spans="5:11" ht="46.5" x14ac:dyDescent="0.35">
      <c r="E190" s="3">
        <v>188</v>
      </c>
      <c r="F190" s="3" t="s">
        <v>257</v>
      </c>
      <c r="G190" s="3" t="s">
        <v>650</v>
      </c>
      <c r="H190" s="3" t="s">
        <v>711</v>
      </c>
      <c r="I190" s="10" t="s">
        <v>206</v>
      </c>
      <c r="J190" s="5">
        <f>VLOOKUP(I190,[1]Sayfa1!$A:$C,2,0)</f>
        <v>0</v>
      </c>
      <c r="K190" s="5" t="str">
        <f>VLOOKUP(I190,[1]Sayfa1!$A:$C,3,0)</f>
        <v>yönetmeliği</v>
      </c>
    </row>
    <row r="191" spans="5:11" ht="46.5" x14ac:dyDescent="0.35">
      <c r="E191" s="3">
        <v>189</v>
      </c>
      <c r="F191" s="3" t="s">
        <v>257</v>
      </c>
      <c r="G191" s="3" t="s">
        <v>650</v>
      </c>
      <c r="H191" s="3" t="s">
        <v>698</v>
      </c>
      <c r="I191" s="5" t="s">
        <v>207</v>
      </c>
      <c r="J191" s="5">
        <f>VLOOKUP(I191,[1]Sayfa1!$A:$C,2,0)</f>
        <v>0</v>
      </c>
      <c r="K191" s="5" t="str">
        <f>VLOOKUP(I191,[1]Sayfa1!$A:$C,3,0)</f>
        <v>yönetmeliği</v>
      </c>
    </row>
    <row r="192" spans="5:11" ht="46.5" x14ac:dyDescent="0.35">
      <c r="E192" s="3">
        <v>190</v>
      </c>
      <c r="F192" s="3" t="s">
        <v>257</v>
      </c>
      <c r="G192" s="3" t="s">
        <v>650</v>
      </c>
      <c r="H192" s="3" t="s">
        <v>698</v>
      </c>
      <c r="I192" s="5" t="s">
        <v>208</v>
      </c>
      <c r="J192" s="5">
        <f>VLOOKUP(I192,[1]Sayfa1!$A:$C,2,0)</f>
        <v>0</v>
      </c>
      <c r="K192" s="5" t="str">
        <f>VLOOKUP(I192,[1]Sayfa1!$A:$C,3,0)</f>
        <v>talimatı</v>
      </c>
    </row>
    <row r="193" spans="5:11" ht="46.5" x14ac:dyDescent="0.35">
      <c r="E193" s="3">
        <v>191</v>
      </c>
      <c r="F193" s="3" t="s">
        <v>257</v>
      </c>
      <c r="G193" s="3" t="s">
        <v>650</v>
      </c>
      <c r="H193" s="3" t="s">
        <v>698</v>
      </c>
      <c r="I193" s="10" t="s">
        <v>209</v>
      </c>
      <c r="J193" s="5">
        <f>VLOOKUP(I193,[1]Sayfa1!$A:$C,2,0)</f>
        <v>0</v>
      </c>
      <c r="K193" s="5" t="str">
        <f>VLOOKUP(I193,[1]Sayfa1!$A:$C,3,0)</f>
        <v>talimatı</v>
      </c>
    </row>
    <row r="194" spans="5:11" ht="46.5" x14ac:dyDescent="0.35">
      <c r="E194" s="3">
        <v>192</v>
      </c>
      <c r="F194" s="3" t="s">
        <v>257</v>
      </c>
      <c r="G194" s="3" t="s">
        <v>650</v>
      </c>
      <c r="H194" s="3" t="s">
        <v>698</v>
      </c>
      <c r="I194" s="10" t="s">
        <v>210</v>
      </c>
      <c r="J194" s="5" t="str">
        <f>VLOOKUP(I194,[1]Sayfa1!$A:$C,2,0)</f>
        <v>Küçük İşletmelere İlişkin Usul Esas.</v>
      </c>
      <c r="K194" s="5" t="str">
        <f>VLOOKUP(I194,[1]Sayfa1!$A:$C,3,0)</f>
        <v>md. 20/a</v>
      </c>
    </row>
    <row r="195" spans="5:11" ht="46.5" x14ac:dyDescent="0.35">
      <c r="E195" s="3">
        <v>193</v>
      </c>
      <c r="F195" s="3" t="s">
        <v>257</v>
      </c>
      <c r="G195" s="3" t="s">
        <v>650</v>
      </c>
      <c r="H195" s="3" t="s">
        <v>698</v>
      </c>
      <c r="I195" s="5" t="s">
        <v>211</v>
      </c>
      <c r="J195" s="5" t="str">
        <f>VLOOKUP(I195,[1]Sayfa1!$A:$C,2,0)</f>
        <v>Küçük İşletmelere İlişkin Usul Esas.</v>
      </c>
      <c r="K195" s="5" t="str">
        <f>VLOOKUP(I195,[1]Sayfa1!$A:$C,3,0)</f>
        <v>md. 20/a</v>
      </c>
    </row>
    <row r="196" spans="5:11" ht="46.5" x14ac:dyDescent="0.35">
      <c r="E196" s="3">
        <v>194</v>
      </c>
      <c r="F196" s="3" t="s">
        <v>257</v>
      </c>
      <c r="G196" s="3" t="s">
        <v>650</v>
      </c>
      <c r="H196" s="3" t="s">
        <v>698</v>
      </c>
      <c r="I196" s="10" t="s">
        <v>212</v>
      </c>
      <c r="J196" s="5" t="str">
        <f>VLOOKUP(I196,[1]Sayfa1!$A:$C,2,0)</f>
        <v>Küçük İşletmelere İlişkin Usul Esas.</v>
      </c>
      <c r="K196" s="5" t="str">
        <f>VLOOKUP(I196,[1]Sayfa1!$A:$C,3,0)</f>
        <v>md. 13/h</v>
      </c>
    </row>
    <row r="197" spans="5:11" ht="46.5" x14ac:dyDescent="0.35">
      <c r="E197" s="3">
        <v>195</v>
      </c>
      <c r="F197" s="3" t="s">
        <v>257</v>
      </c>
      <c r="G197" s="3" t="s">
        <v>650</v>
      </c>
      <c r="H197" s="3" t="s">
        <v>698</v>
      </c>
      <c r="I197" s="5" t="s">
        <v>213</v>
      </c>
      <c r="J197" s="5" t="str">
        <f>VLOOKUP(I197,[1]Sayfa1!$A:$C,2,0)</f>
        <v>Lokanta-Kantin İşletme Söz.</v>
      </c>
      <c r="K197" s="5" t="str">
        <f>VLOOKUP(I197,[1]Sayfa1!$A:$C,3,0)</f>
        <v>md. 11-20</v>
      </c>
    </row>
    <row r="198" spans="5:11" ht="46.5" x14ac:dyDescent="0.35">
      <c r="E198" s="3">
        <v>196</v>
      </c>
      <c r="F198" s="3" t="s">
        <v>257</v>
      </c>
      <c r="G198" s="3" t="s">
        <v>650</v>
      </c>
      <c r="H198" s="3" t="s">
        <v>698</v>
      </c>
      <c r="I198" s="10" t="s">
        <v>214</v>
      </c>
      <c r="J198" s="5" t="str">
        <f>VLOOKUP(I198,[1]Sayfa1!$A:$C,2,0)</f>
        <v>Lokanta-Kantin İşletme Söz.</v>
      </c>
      <c r="K198" s="5" t="str">
        <f>VLOOKUP(I198,[1]Sayfa1!$A:$C,3,0)</f>
        <v>md. 21/f</v>
      </c>
    </row>
    <row r="199" spans="5:11" ht="46.5" x14ac:dyDescent="0.35">
      <c r="E199" s="3">
        <v>197</v>
      </c>
      <c r="F199" s="3" t="s">
        <v>257</v>
      </c>
      <c r="G199" s="3" t="s">
        <v>650</v>
      </c>
      <c r="H199" s="3" t="s">
        <v>698</v>
      </c>
      <c r="I199" s="10" t="s">
        <v>215</v>
      </c>
      <c r="J199" s="5" t="str">
        <f>VLOOKUP(I199,[1]Sayfa1!$A:$C,2,0)</f>
        <v>Lokanta-Kantin İşletme Söz.</v>
      </c>
      <c r="K199" s="5" t="str">
        <f>VLOOKUP(I199,[1]Sayfa1!$A:$C,3,0)</f>
        <v>md. 21/f</v>
      </c>
    </row>
    <row r="200" spans="5:11" ht="46.5" x14ac:dyDescent="0.35">
      <c r="E200" s="3">
        <v>198</v>
      </c>
      <c r="F200" s="3" t="s">
        <v>257</v>
      </c>
      <c r="G200" s="3" t="s">
        <v>650</v>
      </c>
      <c r="H200" s="3" t="s">
        <v>711</v>
      </c>
      <c r="I200" s="5" t="s">
        <v>216</v>
      </c>
      <c r="J200" s="5" t="str">
        <f>VLOOKUP(I200,[1]Sayfa1!$A:$C,2,0)</f>
        <v>Yurtlarda Alınacak Tedbirler Usul Esas.</v>
      </c>
      <c r="K200" s="5" t="str">
        <f>VLOOKUP(I200,[1]Sayfa1!$A:$C,3,0)</f>
        <v>md. 16/14</v>
      </c>
    </row>
    <row r="201" spans="5:11" ht="46.5" x14ac:dyDescent="0.35">
      <c r="E201" s="3">
        <v>199</v>
      </c>
      <c r="F201" s="3" t="s">
        <v>257</v>
      </c>
      <c r="G201" s="3" t="s">
        <v>650</v>
      </c>
      <c r="H201" s="3" t="s">
        <v>711</v>
      </c>
      <c r="I201" s="5" t="s">
        <v>217</v>
      </c>
      <c r="J201" s="5" t="str">
        <f>VLOOKUP(I201,[1]Sayfa1!$A:$C,2,0)</f>
        <v>Yurtlarda Alınacak Tedbirler Usul Esas.</v>
      </c>
      <c r="K201" s="5" t="str">
        <f>VLOOKUP(I201,[1]Sayfa1!$A:$C,3,0)</f>
        <v>md. 16/14</v>
      </c>
    </row>
    <row r="202" spans="5:11" ht="46.5" x14ac:dyDescent="0.35">
      <c r="E202" s="3">
        <v>200</v>
      </c>
      <c r="F202" s="3" t="s">
        <v>257</v>
      </c>
      <c r="G202" s="3" t="s">
        <v>650</v>
      </c>
      <c r="H202" s="3" t="s">
        <v>697</v>
      </c>
      <c r="I202" s="10" t="s">
        <v>218</v>
      </c>
      <c r="J202" s="5" t="str">
        <f>VLOOKUP(I202,[1]Sayfa1!$A:$C,2,0)</f>
        <v>Yurtlarda Alınacak Tedbirler Usul Esas.</v>
      </c>
      <c r="K202" s="5" t="str">
        <f>VLOOKUP(I202,[1]Sayfa1!$A:$C,3,0)</f>
        <v>md. 7</v>
      </c>
    </row>
    <row r="203" spans="5:11" ht="46.5" x14ac:dyDescent="0.35">
      <c r="E203" s="3">
        <v>201</v>
      </c>
      <c r="F203" s="3" t="s">
        <v>257</v>
      </c>
      <c r="G203" s="3" t="s">
        <v>650</v>
      </c>
      <c r="H203" s="3" t="s">
        <v>698</v>
      </c>
      <c r="I203" s="10" t="s">
        <v>219</v>
      </c>
      <c r="J203" s="5" t="str">
        <f>VLOOKUP(I203,[1]Sayfa1!$A:$C,2,0)</f>
        <v>Küçük İşletmelere İlişkin Usul Esas.</v>
      </c>
      <c r="K203" s="5" t="str">
        <f>VLOOKUP(I203,[1]Sayfa1!$A:$C,3,0)</f>
        <v>md. 25/i</v>
      </c>
    </row>
    <row r="204" spans="5:11" ht="46.5" x14ac:dyDescent="0.35">
      <c r="E204" s="3">
        <v>202</v>
      </c>
      <c r="F204" s="3" t="s">
        <v>257</v>
      </c>
      <c r="G204" s="3" t="s">
        <v>650</v>
      </c>
      <c r="H204" s="3" t="s">
        <v>662</v>
      </c>
      <c r="I204" s="5" t="s">
        <v>220</v>
      </c>
      <c r="J204" s="5" t="str">
        <f>VLOOKUP(I204,[1]Sayfa1!$A:$C,2,0)</f>
        <v>Yurtlarda Alınacak Tedbirler Usul Esas.</v>
      </c>
      <c r="K204" s="5" t="str">
        <f>VLOOKUP(I204,[1]Sayfa1!$A:$C,3,0)</f>
        <v>md. 16/4</v>
      </c>
    </row>
    <row r="205" spans="5:11" ht="46.5" x14ac:dyDescent="0.35">
      <c r="E205" s="3">
        <v>203</v>
      </c>
      <c r="F205" s="3" t="s">
        <v>257</v>
      </c>
      <c r="G205" s="3" t="s">
        <v>669</v>
      </c>
      <c r="H205" s="3" t="s">
        <v>701</v>
      </c>
      <c r="I205" s="10" t="s">
        <v>221</v>
      </c>
      <c r="J205" s="5" t="str">
        <f>VLOOKUP(I205,[1]Sayfa1!$A:$C,2,0)</f>
        <v>Yurtlarda Alınacak Tedbirler Usul Esas.</v>
      </c>
      <c r="K205" s="5" t="str">
        <f>VLOOKUP(I205,[1]Sayfa1!$A:$C,3,0)</f>
        <v>md. 15/12</v>
      </c>
    </row>
    <row r="206" spans="5:11" ht="46.5" x14ac:dyDescent="0.35">
      <c r="E206" s="3">
        <v>204</v>
      </c>
      <c r="F206" s="3" t="s">
        <v>257</v>
      </c>
      <c r="G206" s="3" t="s">
        <v>669</v>
      </c>
      <c r="H206" s="3" t="s">
        <v>659</v>
      </c>
      <c r="I206" s="5" t="s">
        <v>222</v>
      </c>
      <c r="J206" s="5" t="str">
        <f>VLOOKUP(I206,[1]Sayfa1!$A:$C,2,0)</f>
        <v>Yurtlarda Alınacak Tedbirler Usul Esas.</v>
      </c>
      <c r="K206" s="5" t="str">
        <f>VLOOKUP(I206,[1]Sayfa1!$A:$C,3,0)</f>
        <v>md. 9</v>
      </c>
    </row>
    <row r="207" spans="5:11" ht="46.5" x14ac:dyDescent="0.35">
      <c r="E207" s="3">
        <v>205</v>
      </c>
      <c r="F207" s="3" t="s">
        <v>257</v>
      </c>
      <c r="G207" s="3" t="s">
        <v>650</v>
      </c>
      <c r="H207" s="3" t="s">
        <v>698</v>
      </c>
      <c r="I207" s="10" t="s">
        <v>223</v>
      </c>
      <c r="J207" s="5" t="str">
        <f>VLOOKUP(I207,[1]Sayfa1!$A:$C,2,0)</f>
        <v>Küçük İşletmelere İlişkin Usul Esas.</v>
      </c>
      <c r="K207" s="5" t="str">
        <f>VLOOKUP(I207,[1]Sayfa1!$A:$C,3,0)</f>
        <v>md. 25/i</v>
      </c>
    </row>
    <row r="208" spans="5:11" ht="46.5" x14ac:dyDescent="0.35">
      <c r="E208" s="3">
        <v>206</v>
      </c>
      <c r="F208" s="3" t="s">
        <v>257</v>
      </c>
      <c r="G208" s="3" t="s">
        <v>669</v>
      </c>
      <c r="H208" s="3" t="s">
        <v>706</v>
      </c>
      <c r="I208" s="5" t="s">
        <v>224</v>
      </c>
      <c r="J208" s="5" t="str">
        <f>VLOOKUP(I208,[1]Sayfa1!$A:$C,2,0)</f>
        <v>5378 Sayılı Engelliler Hk.</v>
      </c>
      <c r="K208" s="5" t="str">
        <f>VLOOKUP(I208,[1]Sayfa1!$A:$C,3,0)</f>
        <v>kanun</v>
      </c>
    </row>
    <row r="209" spans="5:11" ht="46.5" x14ac:dyDescent="0.35">
      <c r="E209" s="3">
        <v>207</v>
      </c>
      <c r="F209" s="3" t="s">
        <v>257</v>
      </c>
      <c r="G209" s="3" t="s">
        <v>669</v>
      </c>
      <c r="H209" s="3" t="s">
        <v>706</v>
      </c>
      <c r="I209" s="5" t="s">
        <v>225</v>
      </c>
      <c r="J209" s="5" t="str">
        <f>VLOOKUP(I209,[1]Sayfa1!$A:$C,2,0)</f>
        <v>5378 Sayılı Engelliler Hk.</v>
      </c>
      <c r="K209" s="5" t="str">
        <f>VLOOKUP(I209,[1]Sayfa1!$A:$C,3,0)</f>
        <v>kanun</v>
      </c>
    </row>
    <row r="210" spans="5:11" ht="46.5" x14ac:dyDescent="0.35">
      <c r="E210" s="3">
        <v>208</v>
      </c>
      <c r="F210" s="3" t="s">
        <v>257</v>
      </c>
      <c r="G210" s="3" t="s">
        <v>669</v>
      </c>
      <c r="H210" s="3" t="s">
        <v>711</v>
      </c>
      <c r="I210" s="5" t="s">
        <v>226</v>
      </c>
      <c r="J210" s="5" t="str">
        <f>VLOOKUP(I210,[1]Sayfa1!$A:$C,2,0)</f>
        <v>Yurtlarda Alınacak Tedbirler Usul Esas.</v>
      </c>
      <c r="K210" s="5" t="str">
        <f>VLOOKUP(I210,[1]Sayfa1!$A:$C,3,0)</f>
        <v>md. 10/14</v>
      </c>
    </row>
    <row r="211" spans="5:11" ht="46.5" x14ac:dyDescent="0.35">
      <c r="E211" s="3">
        <v>209</v>
      </c>
      <c r="F211" s="3" t="s">
        <v>257</v>
      </c>
      <c r="G211" s="3" t="s">
        <v>669</v>
      </c>
      <c r="H211" s="3" t="s">
        <v>701</v>
      </c>
      <c r="I211" s="5" t="s">
        <v>227</v>
      </c>
      <c r="J211" s="5">
        <f>VLOOKUP(I211,[1]Sayfa1!$A:$C,2,0)</f>
        <v>0</v>
      </c>
      <c r="K211" s="5" t="str">
        <f>VLOOKUP(I211,[1]Sayfa1!$A:$C,3,0)</f>
        <v>yönetmeliği</v>
      </c>
    </row>
    <row r="212" spans="5:11" ht="46.5" x14ac:dyDescent="0.35">
      <c r="E212" s="3">
        <v>210</v>
      </c>
      <c r="F212" s="3" t="s">
        <v>257</v>
      </c>
      <c r="G212" s="3" t="s">
        <v>669</v>
      </c>
      <c r="H212" s="3" t="s">
        <v>659</v>
      </c>
      <c r="I212" s="10" t="s">
        <v>228</v>
      </c>
      <c r="J212" s="5" t="str">
        <f>VLOOKUP(I212,[1]Sayfa1!$A:$C,2,0)</f>
        <v>Yangın Önleme ve Sön. Yön.</v>
      </c>
      <c r="K212" s="5" t="str">
        <f>VLOOKUP(I212,[1]Sayfa1!$A:$C,3,0)</f>
        <v>md. 18</v>
      </c>
    </row>
    <row r="213" spans="5:11" ht="46.5" x14ac:dyDescent="0.35">
      <c r="E213" s="3">
        <v>211</v>
      </c>
      <c r="F213" s="3" t="s">
        <v>257</v>
      </c>
      <c r="G213" s="3" t="s">
        <v>669</v>
      </c>
      <c r="H213" s="3" t="s">
        <v>659</v>
      </c>
      <c r="I213" s="5" t="s">
        <v>229</v>
      </c>
      <c r="J213" s="5" t="str">
        <f>VLOOKUP(I213,[1]Sayfa1!$A:$C,2,0)</f>
        <v>Yangın Önleme ve Sön. Yön.</v>
      </c>
      <c r="K213" s="5" t="str">
        <f>VLOOKUP(I213,[1]Sayfa1!$A:$C,3,0)</f>
        <v>md. 20</v>
      </c>
    </row>
    <row r="214" spans="5:11" ht="46.5" x14ac:dyDescent="0.35">
      <c r="E214" s="3">
        <v>212</v>
      </c>
      <c r="F214" s="3" t="s">
        <v>257</v>
      </c>
      <c r="G214" s="3" t="s">
        <v>669</v>
      </c>
      <c r="H214" s="3" t="s">
        <v>705</v>
      </c>
      <c r="I214" s="5" t="s">
        <v>230</v>
      </c>
      <c r="J214" s="5" t="str">
        <f>VLOOKUP(I214,[1]Sayfa1!$A:$C,2,0)</f>
        <v>Yangın Önleme ve Sön. Yön.</v>
      </c>
      <c r="K214" s="5" t="str">
        <f>VLOOKUP(I214,[1]Sayfa1!$A:$C,3,0)</f>
        <v>md. 78/6</v>
      </c>
    </row>
    <row r="215" spans="5:11" ht="46.5" x14ac:dyDescent="0.35">
      <c r="E215" s="3">
        <v>213</v>
      </c>
      <c r="F215" s="3" t="s">
        <v>257</v>
      </c>
      <c r="G215" s="3" t="s">
        <v>669</v>
      </c>
      <c r="H215" s="3" t="s">
        <v>705</v>
      </c>
      <c r="I215" s="5" t="s">
        <v>231</v>
      </c>
      <c r="J215" s="5" t="str">
        <f>VLOOKUP(I215,[1]Sayfa1!$A:$C,2,0)</f>
        <v>Yangın Önleme ve Sön. Yön.</v>
      </c>
      <c r="K215" s="5" t="str">
        <f>VLOOKUP(I215,[1]Sayfa1!$A:$C,3,0)</f>
        <v>md. 34/1</v>
      </c>
    </row>
    <row r="216" spans="5:11" ht="46.5" x14ac:dyDescent="0.35">
      <c r="E216" s="3">
        <v>214</v>
      </c>
      <c r="F216" s="3" t="s">
        <v>257</v>
      </c>
      <c r="G216" s="3" t="s">
        <v>669</v>
      </c>
      <c r="H216" s="3" t="s">
        <v>699</v>
      </c>
      <c r="I216" s="5" t="s">
        <v>232</v>
      </c>
      <c r="J216" s="5" t="str">
        <f>VLOOKUP(I216,[1]Sayfa1!$A:$C,2,0)</f>
        <v>Yurtlarda Alınacak Tedbirler Usul Esas.</v>
      </c>
      <c r="K216" s="5" t="str">
        <f>VLOOKUP(I216,[1]Sayfa1!$A:$C,3,0)</f>
        <v>md. 16/11</v>
      </c>
    </row>
    <row r="217" spans="5:11" ht="46.5" x14ac:dyDescent="0.35">
      <c r="E217" s="3">
        <v>215</v>
      </c>
      <c r="F217" s="3" t="s">
        <v>257</v>
      </c>
      <c r="G217" s="3" t="s">
        <v>669</v>
      </c>
      <c r="H217" s="3" t="s">
        <v>700</v>
      </c>
      <c r="I217" s="5" t="s">
        <v>233</v>
      </c>
      <c r="J217" s="5" t="str">
        <f>VLOOKUP(I217,[1]Sayfa1!$A:$C,2,0)</f>
        <v>Yurtlarda Alınacak Tedbirler Usul Esas.</v>
      </c>
      <c r="K217" s="5" t="str">
        <f>VLOOKUP(I217,[1]Sayfa1!$A:$C,3,0)</f>
        <v>md. 11/7</v>
      </c>
    </row>
    <row r="218" spans="5:11" ht="46.5" x14ac:dyDescent="0.35">
      <c r="E218" s="3">
        <v>216</v>
      </c>
      <c r="F218" s="3" t="s">
        <v>257</v>
      </c>
      <c r="G218" s="3" t="s">
        <v>669</v>
      </c>
      <c r="H218" s="3" t="s">
        <v>659</v>
      </c>
      <c r="I218" s="5" t="s">
        <v>234</v>
      </c>
      <c r="J218" s="5" t="str">
        <f>VLOOKUP(I218,[1]Sayfa1!$A:$C,2,0)</f>
        <v>Yangın Önleme ve Sön. Yön.</v>
      </c>
      <c r="K218" s="5" t="str">
        <f>VLOOKUP(I218,[1]Sayfa1!$A:$C,3,0)</f>
        <v>md. 50</v>
      </c>
    </row>
    <row r="219" spans="5:11" ht="46.5" x14ac:dyDescent="0.35">
      <c r="E219" s="3">
        <v>217</v>
      </c>
      <c r="F219" s="3" t="s">
        <v>257</v>
      </c>
      <c r="G219" s="3" t="s">
        <v>669</v>
      </c>
      <c r="H219" s="3" t="s">
        <v>659</v>
      </c>
      <c r="I219" s="5" t="s">
        <v>235</v>
      </c>
      <c r="J219" s="5" t="str">
        <f>VLOOKUP(I219,[1]Sayfa1!$A:$C,2,0)</f>
        <v>Yangın Önleme ve Sön. Yön.</v>
      </c>
      <c r="K219" s="5" t="str">
        <f>VLOOKUP(I219,[1]Sayfa1!$A:$C,3,0)</f>
        <v>md. 53/2</v>
      </c>
    </row>
    <row r="220" spans="5:11" ht="46.5" x14ac:dyDescent="0.35">
      <c r="E220" s="3">
        <v>218</v>
      </c>
      <c r="F220" s="3" t="s">
        <v>257</v>
      </c>
      <c r="G220" s="3" t="s">
        <v>650</v>
      </c>
      <c r="H220" s="3" t="s">
        <v>699</v>
      </c>
      <c r="I220" s="10" t="s">
        <v>236</v>
      </c>
      <c r="J220" s="5" t="str">
        <f>VLOOKUP(I220,[1]Sayfa1!$A:$C,2,0)</f>
        <v>Yurtlarda Alınacak Tedbirler Usul Esas.</v>
      </c>
      <c r="K220" s="5" t="str">
        <f>VLOOKUP(I220,[1]Sayfa1!$A:$C,3,0)</f>
        <v>md. 11/4</v>
      </c>
    </row>
    <row r="221" spans="5:11" ht="46.5" x14ac:dyDescent="0.35">
      <c r="E221" s="3">
        <v>219</v>
      </c>
      <c r="F221" s="3" t="s">
        <v>257</v>
      </c>
      <c r="G221" s="3" t="s">
        <v>669</v>
      </c>
      <c r="H221" s="3" t="s">
        <v>701</v>
      </c>
      <c r="I221" s="5" t="s">
        <v>237</v>
      </c>
      <c r="J221" s="5" t="str">
        <f>VLOOKUP(I221,[1]Sayfa1!$A:$C,2,0)</f>
        <v>Yurtlarda Alınacak Tedbirler Usul Esas.</v>
      </c>
      <c r="K221" s="5" t="str">
        <f>VLOOKUP(I221,[1]Sayfa1!$A:$C,3,0)</f>
        <v>md. 10</v>
      </c>
    </row>
    <row r="222" spans="5:11" ht="46.5" x14ac:dyDescent="0.35">
      <c r="E222" s="3">
        <v>220</v>
      </c>
      <c r="F222" s="3" t="s">
        <v>257</v>
      </c>
      <c r="G222" s="3" t="s">
        <v>650</v>
      </c>
      <c r="H222" s="3" t="s">
        <v>712</v>
      </c>
      <c r="I222" s="10" t="s">
        <v>238</v>
      </c>
      <c r="J222" s="5" t="str">
        <f>VLOOKUP(I222,[1]Sayfa1!$A:$C,2,0)</f>
        <v>Yurtlara Kayıt Usul ve Esasları M</v>
      </c>
      <c r="K222" s="5" t="str">
        <f>VLOOKUP(I222,[1]Sayfa1!$A:$C,3,0)</f>
        <v>md. 7-9</v>
      </c>
    </row>
    <row r="223" spans="5:11" ht="46.5" x14ac:dyDescent="0.35">
      <c r="E223" s="3">
        <v>221</v>
      </c>
      <c r="F223" s="3" t="s">
        <v>257</v>
      </c>
      <c r="G223" s="3" t="s">
        <v>650</v>
      </c>
      <c r="H223" s="3" t="s">
        <v>712</v>
      </c>
      <c r="I223" s="10" t="s">
        <v>239</v>
      </c>
      <c r="J223" s="5" t="str">
        <f>VLOOKUP(I223,[1]Sayfa1!$A:$C,2,0)</f>
        <v>Yurtlara Kayıt Usul ve Esasları M</v>
      </c>
      <c r="K223" s="5" t="str">
        <f>VLOOKUP(I223,[1]Sayfa1!$A:$C,3,0)</f>
        <v>md. 9/4</v>
      </c>
    </row>
    <row r="224" spans="5:11" ht="46.5" x14ac:dyDescent="0.35">
      <c r="E224" s="3">
        <v>222</v>
      </c>
      <c r="F224" s="3" t="s">
        <v>257</v>
      </c>
      <c r="G224" s="3" t="s">
        <v>650</v>
      </c>
      <c r="H224" s="3" t="s">
        <v>699</v>
      </c>
      <c r="I224" s="5" t="s">
        <v>240</v>
      </c>
      <c r="J224" s="5" t="str">
        <f>VLOOKUP(I224,[1]Sayfa1!$A:$C,2,0)</f>
        <v>Yurtlarda Alınacak Tedbirler Usul Esas.</v>
      </c>
      <c r="K224" s="5" t="str">
        <f>VLOOKUP(I224,[1]Sayfa1!$A:$C,3,0)</f>
        <v>md. 16/3</v>
      </c>
    </row>
    <row r="225" spans="5:11" ht="46.5" x14ac:dyDescent="0.35">
      <c r="E225" s="3">
        <v>223</v>
      </c>
      <c r="F225" s="3" t="s">
        <v>257</v>
      </c>
      <c r="G225" s="3" t="s">
        <v>650</v>
      </c>
      <c r="H225" s="3" t="s">
        <v>711</v>
      </c>
      <c r="I225" s="5" t="s">
        <v>241</v>
      </c>
      <c r="J225" s="5" t="str">
        <f>VLOOKUP(I225,[1]Sayfa1!$A:$C,2,0)</f>
        <v>Yurtlarda Alınacak Tedbirler Usul Esas.</v>
      </c>
      <c r="K225" s="5" t="str">
        <f>VLOOKUP(I225,[1]Sayfa1!$A:$C,3,0)</f>
        <v>md. 10/4</v>
      </c>
    </row>
    <row r="226" spans="5:11" ht="46.5" x14ac:dyDescent="0.35">
      <c r="E226" s="3">
        <v>224</v>
      </c>
      <c r="F226" s="3" t="s">
        <v>257</v>
      </c>
      <c r="G226" s="3" t="s">
        <v>650</v>
      </c>
      <c r="H226" s="3" t="s">
        <v>677</v>
      </c>
      <c r="I226" s="5" t="s">
        <v>242</v>
      </c>
      <c r="J226" s="5" t="str">
        <f>VLOOKUP(I226,[1]Sayfa1!$A:$C,2,0)</f>
        <v>Öğrenci Disiplin İşlemleri Uyg. Usul Esas.</v>
      </c>
      <c r="K226" s="5" t="str">
        <f>VLOOKUP(I226,[1]Sayfa1!$A:$C,3,0)</f>
        <v>md. 3/h</v>
      </c>
    </row>
    <row r="227" spans="5:11" ht="46.5" x14ac:dyDescent="0.35">
      <c r="E227" s="3">
        <v>225</v>
      </c>
      <c r="F227" s="3" t="s">
        <v>257</v>
      </c>
      <c r="G227" s="3" t="s">
        <v>650</v>
      </c>
      <c r="H227" s="3" t="s">
        <v>677</v>
      </c>
      <c r="I227" s="10" t="s">
        <v>243</v>
      </c>
      <c r="J227" s="5" t="str">
        <f>VLOOKUP(I227,[1]Sayfa1!$A:$C,2,0)</f>
        <v xml:space="preserve">Yurt İdare ve İşletme Yönetmeliği </v>
      </c>
      <c r="K227" s="5" t="str">
        <f>VLOOKUP(I227,[1]Sayfa1!$A:$C,3,0)</f>
        <v>md. 30</v>
      </c>
    </row>
    <row r="228" spans="5:11" ht="46.5" x14ac:dyDescent="0.35">
      <c r="E228" s="3">
        <v>226</v>
      </c>
      <c r="F228" s="3" t="s">
        <v>257</v>
      </c>
      <c r="G228" s="3" t="s">
        <v>650</v>
      </c>
      <c r="H228" s="3" t="s">
        <v>677</v>
      </c>
      <c r="I228" s="10" t="s">
        <v>244</v>
      </c>
      <c r="J228" s="5" t="str">
        <f>VLOOKUP(I228,[1]Sayfa1!$A:$C,2,0)</f>
        <v>Öğrenci Disiplin İşlemleri Uyg. Usul Esas.</v>
      </c>
      <c r="K228" s="5" t="str">
        <f>VLOOKUP(I228,[1]Sayfa1!$A:$C,3,0)</f>
        <v>md. 3/ı</v>
      </c>
    </row>
    <row r="229" spans="5:11" ht="46.5" x14ac:dyDescent="0.35">
      <c r="E229" s="3">
        <v>227</v>
      </c>
      <c r="F229" s="3" t="s">
        <v>257</v>
      </c>
      <c r="G229" s="3" t="s">
        <v>650</v>
      </c>
      <c r="H229" s="3" t="s">
        <v>700</v>
      </c>
      <c r="I229" s="5" t="s">
        <v>245</v>
      </c>
      <c r="J229" s="5" t="str">
        <f>VLOOKUP(I229,[1]Sayfa1!$A:$C,2,0)</f>
        <v>Bina Kiralama Genel ve Teknik Şartname</v>
      </c>
      <c r="K229" s="5" t="str">
        <f>VLOOKUP(I229,[1]Sayfa1!$A:$C,3,0)</f>
        <v>c.2</v>
      </c>
    </row>
    <row r="230" spans="5:11" ht="46.5" x14ac:dyDescent="0.35">
      <c r="E230" s="3">
        <v>228</v>
      </c>
      <c r="F230" s="3" t="s">
        <v>257</v>
      </c>
      <c r="G230" s="3" t="s">
        <v>650</v>
      </c>
      <c r="H230" s="3" t="s">
        <v>705</v>
      </c>
      <c r="I230" s="10" t="s">
        <v>246</v>
      </c>
      <c r="J230" s="5" t="str">
        <f>VLOOKUP(I230,[1]Sayfa1!$A:$C,2,0)</f>
        <v>Bina Kiralama Genel ve Teknik Şartname</v>
      </c>
      <c r="K230" s="5" t="str">
        <f>VLOOKUP(I230,[1]Sayfa1!$A:$C,3,0)</f>
        <v>c.2</v>
      </c>
    </row>
    <row r="231" spans="5:11" ht="46.5" x14ac:dyDescent="0.35">
      <c r="E231" s="3">
        <v>229</v>
      </c>
      <c r="F231" s="3" t="s">
        <v>257</v>
      </c>
      <c r="G231" s="3" t="s">
        <v>650</v>
      </c>
      <c r="H231" s="3" t="s">
        <v>713</v>
      </c>
      <c r="I231" s="5" t="s">
        <v>247</v>
      </c>
      <c r="J231" s="5" t="str">
        <f>VLOOKUP(I231,[1]Sayfa1!$A:$C,2,0)</f>
        <v>Fazla Çalışma Uyg. Esas. Gösterir Yön.</v>
      </c>
      <c r="K231" s="5" t="str">
        <f>VLOOKUP(I231,[1]Sayfa1!$A:$C,3,0)</f>
        <v>md. 4</v>
      </c>
    </row>
    <row r="232" spans="5:11" ht="46.5" x14ac:dyDescent="0.35">
      <c r="E232" s="3">
        <v>230</v>
      </c>
      <c r="F232" s="3" t="s">
        <v>257</v>
      </c>
      <c r="G232" s="3" t="s">
        <v>650</v>
      </c>
      <c r="H232" s="3" t="s">
        <v>713</v>
      </c>
      <c r="I232" s="5" t="s">
        <v>248</v>
      </c>
      <c r="J232" s="5" t="str">
        <f>VLOOKUP(I232,[1]Sayfa1!$A:$C,2,0)</f>
        <v>Özel ve Gece Hizmetleri Esasları</v>
      </c>
      <c r="K232" s="5" t="str">
        <f>VLOOKUP(I232,[1]Sayfa1!$A:$C,3,0)</f>
        <v>md. 5</v>
      </c>
    </row>
    <row r="233" spans="5:11" ht="46.5" x14ac:dyDescent="0.35">
      <c r="E233" s="3">
        <v>231</v>
      </c>
      <c r="F233" s="3" t="s">
        <v>257</v>
      </c>
      <c r="G233" s="3" t="s">
        <v>650</v>
      </c>
      <c r="H233" s="3" t="s">
        <v>713</v>
      </c>
      <c r="I233" s="10" t="s">
        <v>249</v>
      </c>
      <c r="J233" s="5">
        <f>VLOOKUP(I233,[1]Sayfa1!$A:$C,2,0)</f>
        <v>0</v>
      </c>
      <c r="K233" s="5" t="str">
        <f>VLOOKUP(I233,[1]Sayfa1!$A:$C,3,0)</f>
        <v>a-4</v>
      </c>
    </row>
    <row r="234" spans="5:11" ht="62" x14ac:dyDescent="0.35">
      <c r="E234" s="3">
        <v>232</v>
      </c>
      <c r="F234" s="3" t="s">
        <v>257</v>
      </c>
      <c r="G234" s="3" t="s">
        <v>650</v>
      </c>
      <c r="H234" s="3" t="s">
        <v>657</v>
      </c>
      <c r="I234" s="10" t="s">
        <v>250</v>
      </c>
      <c r="J234" s="5" t="str">
        <f>VLOOKUP(I234,[1]Sayfa1!$A:$C,2,0)</f>
        <v>2464 Sayılı Kanun Mük.</v>
      </c>
      <c r="K234" s="5" t="str">
        <f>VLOOKUP(I234,[1]Sayfa1!$A:$C,3,0)</f>
        <v>md. 44</v>
      </c>
    </row>
    <row r="235" spans="5:11" ht="46.5" x14ac:dyDescent="0.35">
      <c r="E235" s="3">
        <v>233</v>
      </c>
      <c r="F235" s="3" t="s">
        <v>257</v>
      </c>
      <c r="G235" s="3" t="s">
        <v>650</v>
      </c>
      <c r="H235" s="3" t="s">
        <v>657</v>
      </c>
      <c r="I235" s="10" t="s">
        <v>251</v>
      </c>
      <c r="J235" s="5" t="str">
        <f>VLOOKUP(I235,[1]Sayfa1!$A:$C,2,0)</f>
        <v>Ön Protokol Genel ve Teknik Şart</v>
      </c>
      <c r="K235" s="5" t="str">
        <f>VLOOKUP(I235,[1]Sayfa1!$A:$C,3,0)</f>
        <v>şartnamesi</v>
      </c>
    </row>
    <row r="236" spans="5:11" ht="46.5" x14ac:dyDescent="0.35">
      <c r="E236" s="3">
        <v>234</v>
      </c>
      <c r="F236" s="3" t="s">
        <v>257</v>
      </c>
      <c r="G236" s="3" t="s">
        <v>650</v>
      </c>
      <c r="H236" s="3" t="s">
        <v>657</v>
      </c>
      <c r="I236" s="5" t="s">
        <v>252</v>
      </c>
      <c r="J236" s="5" t="str">
        <f>VLOOKUP(I236,[1]Sayfa1!$A:$C,2,0)</f>
        <v>Ön Protokol Genel ve Teknik Şart</v>
      </c>
      <c r="K236" s="5" t="str">
        <f>VLOOKUP(I236,[1]Sayfa1!$A:$C,3,0)</f>
        <v>şartnamesi</v>
      </c>
    </row>
    <row r="237" spans="5:11" ht="62" x14ac:dyDescent="0.35">
      <c r="E237" s="3">
        <v>235</v>
      </c>
      <c r="F237" s="3" t="s">
        <v>257</v>
      </c>
      <c r="G237" s="3" t="s">
        <v>669</v>
      </c>
      <c r="H237" s="3" t="s">
        <v>657</v>
      </c>
      <c r="I237" s="5" t="s">
        <v>253</v>
      </c>
      <c r="J237" s="5" t="str">
        <f>VLOOKUP(I237,[1]Sayfa1!$A:$C,2,0)</f>
        <v>Kira Sözleşmesi ve Tahliye Me</v>
      </c>
      <c r="K237" s="5" t="str">
        <f>VLOOKUP(I237,[1]Sayfa1!$A:$C,3,0)</f>
        <v>mevzuatı</v>
      </c>
    </row>
    <row r="238" spans="5:11" ht="46.5" x14ac:dyDescent="0.35">
      <c r="E238" s="3">
        <v>236</v>
      </c>
      <c r="F238" s="3" t="s">
        <v>257</v>
      </c>
      <c r="G238" s="3" t="s">
        <v>650</v>
      </c>
      <c r="H238" s="3" t="s">
        <v>657</v>
      </c>
      <c r="I238" s="5" t="s">
        <v>254</v>
      </c>
      <c r="J238" s="5" t="str">
        <f>VLOOKUP(I238,[1]Sayfa1!$A:$C,2,0)</f>
        <v>Taşınmaz Kiralanması Yön.</v>
      </c>
      <c r="K238" s="5" t="str">
        <f>VLOOKUP(I238,[1]Sayfa1!$A:$C,3,0)</f>
        <v>md. 19/2</v>
      </c>
    </row>
    <row r="239" spans="5:11" ht="46.5" x14ac:dyDescent="0.35">
      <c r="E239" s="3">
        <v>237</v>
      </c>
      <c r="F239" s="3" t="s">
        <v>257</v>
      </c>
      <c r="G239" s="3" t="s">
        <v>650</v>
      </c>
      <c r="H239" s="3" t="s">
        <v>657</v>
      </c>
      <c r="I239" s="5" t="s">
        <v>255</v>
      </c>
      <c r="J239" s="5" t="str">
        <f>VLOOKUP(I239,[1]Sayfa1!$A:$C,2,0)</f>
        <v>Kamu İdareleri Taşınmaz Kiralama Genel</v>
      </c>
      <c r="K239" s="5" t="str">
        <f>VLOOKUP(I239,[1]Sayfa1!$A:$C,3,0)</f>
        <v>genelgeleri</v>
      </c>
    </row>
    <row r="240" spans="5:11" ht="46.5" x14ac:dyDescent="0.35">
      <c r="E240" s="3">
        <v>238</v>
      </c>
      <c r="F240" s="3" t="s">
        <v>257</v>
      </c>
      <c r="G240" s="3" t="s">
        <v>650</v>
      </c>
      <c r="H240" s="3" t="s">
        <v>657</v>
      </c>
      <c r="I240" s="5" t="s">
        <v>256</v>
      </c>
      <c r="J240" s="5" t="str">
        <f>VLOOKUP(I240,[1]Sayfa1!$A:$C,2,0)</f>
        <v>Kamu Zararlarının Tahsiline İlişkin Usul</v>
      </c>
      <c r="K240" s="5" t="str">
        <f>VLOOKUP(I240,[1]Sayfa1!$A:$C,3,0)</f>
        <v>esas.</v>
      </c>
    </row>
    <row r="241" spans="5:11" ht="43.5" x14ac:dyDescent="0.35">
      <c r="E241" s="3">
        <v>239</v>
      </c>
      <c r="F241" s="3" t="s">
        <v>282</v>
      </c>
      <c r="G241" s="3" t="s">
        <v>669</v>
      </c>
      <c r="H241" s="3" t="s">
        <v>714</v>
      </c>
      <c r="I241" s="6" t="s">
        <v>258</v>
      </c>
      <c r="J241" s="5" t="str">
        <f>VLOOKUP(I241,[1]Sayfa1!$A:$C,2,0)</f>
        <v>Gençlik Merkezleri Yönetmeliği M</v>
      </c>
      <c r="K241" s="5" t="str">
        <f>VLOOKUP(I241,[1]Sayfa1!$A:$C,3,0)</f>
        <v>md. 6/3</v>
      </c>
    </row>
    <row r="242" spans="5:11" ht="43.5" x14ac:dyDescent="0.35">
      <c r="E242" s="3">
        <v>240</v>
      </c>
      <c r="F242" s="3" t="s">
        <v>282</v>
      </c>
      <c r="G242" s="3" t="s">
        <v>650</v>
      </c>
      <c r="H242" s="3" t="s">
        <v>715</v>
      </c>
      <c r="I242" s="6" t="s">
        <v>259</v>
      </c>
      <c r="J242" s="5" t="str">
        <f>VLOOKUP(I242,[1]Sayfa1!$A:$C,2,0)</f>
        <v xml:space="preserve">Gençlik Merkezleri Yönetmeliği </v>
      </c>
      <c r="K242" s="5" t="str">
        <f>VLOOKUP(I242,[1]Sayfa1!$A:$C,3,0)</f>
        <v>md. 17</v>
      </c>
    </row>
    <row r="243" spans="5:11" ht="43.5" x14ac:dyDescent="0.35">
      <c r="E243" s="3">
        <v>241</v>
      </c>
      <c r="F243" s="3" t="s">
        <v>282</v>
      </c>
      <c r="G243" s="3" t="s">
        <v>650</v>
      </c>
      <c r="H243" s="3" t="s">
        <v>716</v>
      </c>
      <c r="I243" s="6" t="s">
        <v>260</v>
      </c>
      <c r="J243" s="5" t="str">
        <f>VLOOKUP(I243,[1]Sayfa1!$A:$C,2,0)</f>
        <v>Taşra Teşkilatı Kuruluş ve Görev Yön.</v>
      </c>
      <c r="K243" s="5" t="str">
        <f>VLOOKUP(I243,[1]Sayfa1!$A:$C,3,0)</f>
        <v>md. 19/6</v>
      </c>
    </row>
    <row r="244" spans="5:11" ht="43.5" x14ac:dyDescent="0.35">
      <c r="E244" s="3">
        <v>242</v>
      </c>
      <c r="F244" s="3" t="s">
        <v>282</v>
      </c>
      <c r="G244" s="3" t="s">
        <v>650</v>
      </c>
      <c r="H244" s="3" t="s">
        <v>692</v>
      </c>
      <c r="I244" s="6" t="s">
        <v>261</v>
      </c>
      <c r="J244" s="5" t="str">
        <f>VLOOKUP(I244,[1]Sayfa1!$A:$C,2,0)</f>
        <v>2001/2863 BKK Esaslar</v>
      </c>
      <c r="K244" s="5" t="str">
        <f>VLOOKUP(I244,[1]Sayfa1!$A:$C,3,0)</f>
        <v>md. 2</v>
      </c>
    </row>
    <row r="245" spans="5:11" ht="43.5" x14ac:dyDescent="0.35">
      <c r="E245" s="3">
        <v>243</v>
      </c>
      <c r="F245" s="3" t="s">
        <v>282</v>
      </c>
      <c r="G245" s="3" t="s">
        <v>650</v>
      </c>
      <c r="H245" s="3" t="s">
        <v>692</v>
      </c>
      <c r="I245" s="6" t="s">
        <v>262</v>
      </c>
      <c r="J245" s="5" t="str">
        <f>VLOOKUP(I245,[1]Sayfa1!$A:$C,2,0)</f>
        <v xml:space="preserve">2001/2863 BKK Esaslar </v>
      </c>
      <c r="K245" s="5" t="str">
        <f>VLOOKUP(I245,[1]Sayfa1!$A:$C,3,0)</f>
        <v>md. 16</v>
      </c>
    </row>
    <row r="246" spans="5:11" ht="29" x14ac:dyDescent="0.35">
      <c r="E246" s="3">
        <v>244</v>
      </c>
      <c r="F246" s="3" t="s">
        <v>282</v>
      </c>
      <c r="G246" s="3" t="s">
        <v>650</v>
      </c>
      <c r="H246" s="3" t="s">
        <v>692</v>
      </c>
      <c r="I246" s="6" t="s">
        <v>263</v>
      </c>
      <c r="J246" s="5" t="str">
        <f>VLOOKUP(I246,[1]Sayfa1!$A:$C,2,0)</f>
        <v>2001/2863 BKK Esaslar 2 Sayılı</v>
      </c>
      <c r="K246" s="5" t="str">
        <f>VLOOKUP(I246,[1]Sayfa1!$A:$C,3,0)</f>
        <v>tablo</v>
      </c>
    </row>
    <row r="247" spans="5:11" ht="43.5" x14ac:dyDescent="0.35">
      <c r="E247" s="3">
        <v>245</v>
      </c>
      <c r="F247" s="3" t="s">
        <v>282</v>
      </c>
      <c r="G247" s="3" t="s">
        <v>650</v>
      </c>
      <c r="H247" s="3" t="s">
        <v>692</v>
      </c>
      <c r="I247" s="6" t="s">
        <v>264</v>
      </c>
      <c r="J247" s="5" t="str">
        <f>VLOOKUP(I247,[1]Sayfa1!$A:$C,2,0)</f>
        <v>Gençlik Merkezleri Yönetmeliği</v>
      </c>
      <c r="K247" s="5" t="str">
        <f>VLOOKUP(I247,[1]Sayfa1!$A:$C,3,0)</f>
        <v>md. 1</v>
      </c>
    </row>
    <row r="248" spans="5:11" ht="43.5" x14ac:dyDescent="0.35">
      <c r="E248" s="3">
        <v>246</v>
      </c>
      <c r="F248" s="3" t="s">
        <v>282</v>
      </c>
      <c r="G248" s="3" t="s">
        <v>650</v>
      </c>
      <c r="H248" s="3" t="s">
        <v>692</v>
      </c>
      <c r="I248" s="6" t="s">
        <v>265</v>
      </c>
      <c r="J248" s="5" t="str">
        <f>VLOOKUP(I248,[1]Sayfa1!$A:$C,2,0)</f>
        <v>2001/2863 BKK Esaslar</v>
      </c>
      <c r="K248" s="5" t="str">
        <f>VLOOKUP(I248,[1]Sayfa1!$A:$C,3,0)</f>
        <v>md. 5</v>
      </c>
    </row>
    <row r="249" spans="5:11" ht="43.5" x14ac:dyDescent="0.35">
      <c r="E249" s="3">
        <v>247</v>
      </c>
      <c r="F249" s="3" t="s">
        <v>282</v>
      </c>
      <c r="G249" s="3" t="s">
        <v>650</v>
      </c>
      <c r="H249" s="3" t="s">
        <v>692</v>
      </c>
      <c r="I249" s="12" t="s">
        <v>266</v>
      </c>
      <c r="J249" s="5">
        <f>VLOOKUP(I249,[1]Sayfa1!$A:$C,2,0)</f>
        <v>0</v>
      </c>
      <c r="K249" s="5" t="str">
        <f>VLOOKUP(I249,[1]Sayfa1!$A:$C,3,0)</f>
        <v>esaslar</v>
      </c>
    </row>
    <row r="250" spans="5:11" ht="43.5" x14ac:dyDescent="0.35">
      <c r="E250" s="3">
        <v>248</v>
      </c>
      <c r="F250" s="3" t="s">
        <v>282</v>
      </c>
      <c r="G250" s="3" t="s">
        <v>650</v>
      </c>
      <c r="H250" s="3" t="s">
        <v>657</v>
      </c>
      <c r="I250" s="6" t="s">
        <v>267</v>
      </c>
      <c r="J250" s="5" t="str">
        <f>VLOOKUP(I250,[1]Sayfa1!$A:$C,2,0)</f>
        <v>Merkezi Yönetim Harcama Belg.</v>
      </c>
      <c r="K250" s="5" t="str">
        <f>VLOOKUP(I250,[1]Sayfa1!$A:$C,3,0)</f>
        <v>yön.</v>
      </c>
    </row>
    <row r="251" spans="5:11" ht="43.5" x14ac:dyDescent="0.35">
      <c r="E251" s="3">
        <v>249</v>
      </c>
      <c r="F251" s="3" t="s">
        <v>282</v>
      </c>
      <c r="G251" s="3" t="s">
        <v>650</v>
      </c>
      <c r="H251" s="3" t="s">
        <v>716</v>
      </c>
      <c r="I251" s="6" t="s">
        <v>268</v>
      </c>
      <c r="J251" s="5" t="str">
        <f>VLOOKUP(I251,[1]Sayfa1!$A:$C,2,0)</f>
        <v>5018 Sayılı Kanun Md.</v>
      </c>
      <c r="K251" s="5" t="str">
        <f>VLOOKUP(I251,[1]Sayfa1!$A:$C,3,0)</f>
        <v>md. 31-32</v>
      </c>
    </row>
    <row r="252" spans="5:11" ht="43.5" x14ac:dyDescent="0.35">
      <c r="E252" s="3">
        <v>250</v>
      </c>
      <c r="F252" s="3" t="s">
        <v>282</v>
      </c>
      <c r="G252" s="3" t="s">
        <v>650</v>
      </c>
      <c r="H252" s="3" t="s">
        <v>716</v>
      </c>
      <c r="I252" s="12" t="s">
        <v>269</v>
      </c>
      <c r="J252" s="5" t="str">
        <f>VLOOKUP(I252,[1]Sayfa1!$A:$C,2,0)</f>
        <v>5018 Sayılı Kanun / 4734 Sayılı</v>
      </c>
      <c r="K252" s="5" t="str">
        <f>VLOOKUP(I252,[1]Sayfa1!$A:$C,3,0)</f>
        <v>kanun</v>
      </c>
    </row>
    <row r="253" spans="5:11" ht="43.5" x14ac:dyDescent="0.35">
      <c r="E253" s="3">
        <v>251</v>
      </c>
      <c r="F253" s="3" t="s">
        <v>282</v>
      </c>
      <c r="G253" s="3" t="s">
        <v>650</v>
      </c>
      <c r="H253" s="3" t="s">
        <v>716</v>
      </c>
      <c r="I253" s="6" t="s">
        <v>270</v>
      </c>
      <c r="J253" s="5" t="str">
        <f>VLOOKUP(I253,[1]Sayfa1!$A:$C,2,0)</f>
        <v xml:space="preserve">5018 Sayılı Kanun </v>
      </c>
      <c r="K253" s="5" t="str">
        <f>VLOOKUP(I253,[1]Sayfa1!$A:$C,3,0)</f>
        <v>md. 32</v>
      </c>
    </row>
    <row r="254" spans="5:11" ht="43.5" x14ac:dyDescent="0.35">
      <c r="E254" s="3">
        <v>252</v>
      </c>
      <c r="F254" s="3" t="s">
        <v>282</v>
      </c>
      <c r="G254" s="3" t="s">
        <v>650</v>
      </c>
      <c r="H254" s="3" t="s">
        <v>664</v>
      </c>
      <c r="I254" s="12" t="s">
        <v>271</v>
      </c>
      <c r="J254" s="5" t="str">
        <f>VLOOKUP(I254,[1]Sayfa1!$A:$C,2,0)</f>
        <v>Tasarruf Tedbirleri Genelgesi / 5018 S.</v>
      </c>
      <c r="K254" s="5" t="str">
        <f>VLOOKUP(I254,[1]Sayfa1!$A:$C,3,0)</f>
        <v>k.</v>
      </c>
    </row>
    <row r="255" spans="5:11" ht="43.5" x14ac:dyDescent="0.35">
      <c r="E255" s="3">
        <v>253</v>
      </c>
      <c r="F255" s="3" t="s">
        <v>282</v>
      </c>
      <c r="G255" s="3" t="s">
        <v>650</v>
      </c>
      <c r="H255" s="3" t="s">
        <v>664</v>
      </c>
      <c r="I255" s="6" t="s">
        <v>272</v>
      </c>
      <c r="J255" s="5" t="str">
        <f>VLOOKUP(I255,[1]Sayfa1!$A:$C,2,0)</f>
        <v xml:space="preserve">5018 Sayılı Kanun </v>
      </c>
      <c r="K255" s="5" t="str">
        <f>VLOOKUP(I255,[1]Sayfa1!$A:$C,3,0)</f>
        <v>md. 31</v>
      </c>
    </row>
    <row r="256" spans="5:11" ht="43.5" x14ac:dyDescent="0.35">
      <c r="E256" s="3">
        <v>254</v>
      </c>
      <c r="F256" s="3" t="s">
        <v>282</v>
      </c>
      <c r="G256" s="3" t="s">
        <v>650</v>
      </c>
      <c r="H256" s="3" t="s">
        <v>657</v>
      </c>
      <c r="I256" s="6" t="s">
        <v>273</v>
      </c>
      <c r="J256" s="5">
        <f>VLOOKUP(I256,[1]Sayfa1!$A:$C,2,0)</f>
        <v>0</v>
      </c>
      <c r="K256" s="5" t="str">
        <f>VLOOKUP(I256,[1]Sayfa1!$A:$C,3,0)</f>
        <v>esasları</v>
      </c>
    </row>
    <row r="257" spans="5:11" ht="43.5" x14ac:dyDescent="0.35">
      <c r="E257" s="3">
        <v>255</v>
      </c>
      <c r="F257" s="3" t="s">
        <v>282</v>
      </c>
      <c r="G257" s="3" t="s">
        <v>650</v>
      </c>
      <c r="H257" s="3" t="s">
        <v>657</v>
      </c>
      <c r="I257" s="6" t="s">
        <v>274</v>
      </c>
      <c r="J257" s="5" t="str">
        <f>VLOOKUP(I257,[1]Sayfa1!$A:$C,2,0)</f>
        <v xml:space="preserve">5018 Sayılı Kanun </v>
      </c>
      <c r="K257" s="5" t="str">
        <f>VLOOKUP(I257,[1]Sayfa1!$A:$C,3,0)</f>
        <v>md. 32</v>
      </c>
    </row>
    <row r="258" spans="5:11" ht="29" x14ac:dyDescent="0.35">
      <c r="E258" s="3">
        <v>256</v>
      </c>
      <c r="F258" s="3" t="s">
        <v>282</v>
      </c>
      <c r="G258" s="3" t="s">
        <v>650</v>
      </c>
      <c r="H258" s="3" t="s">
        <v>657</v>
      </c>
      <c r="I258" s="12" t="s">
        <v>275</v>
      </c>
      <c r="J258" s="5">
        <f>VLOOKUP(I258,[1]Sayfa1!$A:$C,2,0)</f>
        <v>0</v>
      </c>
      <c r="K258" s="5" t="str">
        <f>VLOOKUP(I258,[1]Sayfa1!$A:$C,3,0)</f>
        <v>kanun</v>
      </c>
    </row>
    <row r="259" spans="5:11" ht="43.5" x14ac:dyDescent="0.35">
      <c r="E259" s="3">
        <v>257</v>
      </c>
      <c r="F259" s="3" t="s">
        <v>282</v>
      </c>
      <c r="G259" s="3" t="s">
        <v>650</v>
      </c>
      <c r="H259" s="3" t="s">
        <v>657</v>
      </c>
      <c r="I259" s="12" t="s">
        <v>276</v>
      </c>
      <c r="J259" s="5" t="str">
        <f>VLOOKUP(I259,[1]Sayfa1!$A:$C,2,0)</f>
        <v>Biz Anadoluyuz Projesi Uyg. Esas.</v>
      </c>
      <c r="K259" s="5" t="str">
        <f>VLOOKUP(I259,[1]Sayfa1!$A:$C,3,0)</f>
        <v>md. 6</v>
      </c>
    </row>
    <row r="260" spans="5:11" ht="43.5" x14ac:dyDescent="0.35">
      <c r="E260" s="3">
        <v>258</v>
      </c>
      <c r="F260" s="3" t="s">
        <v>282</v>
      </c>
      <c r="G260" s="3" t="s">
        <v>650</v>
      </c>
      <c r="H260" s="3" t="s">
        <v>657</v>
      </c>
      <c r="I260" s="6" t="s">
        <v>277</v>
      </c>
      <c r="J260" s="5" t="str">
        <f>VLOOKUP(I260,[1]Sayfa1!$A:$C,2,0)</f>
        <v>Merkezi Yönetim Harcama Belg.</v>
      </c>
      <c r="K260" s="5" t="str">
        <f>VLOOKUP(I260,[1]Sayfa1!$A:$C,3,0)</f>
        <v>yön.</v>
      </c>
    </row>
    <row r="261" spans="5:11" ht="43.5" x14ac:dyDescent="0.35">
      <c r="E261" s="3">
        <v>259</v>
      </c>
      <c r="F261" s="3" t="s">
        <v>282</v>
      </c>
      <c r="G261" s="3" t="s">
        <v>650</v>
      </c>
      <c r="H261" s="3" t="s">
        <v>717</v>
      </c>
      <c r="I261" s="6" t="s">
        <v>278</v>
      </c>
      <c r="J261" s="5" t="str">
        <f>VLOOKUP(I261,[1]Sayfa1!$A:$C,2,0)</f>
        <v>Gençlik Liderliği Çalışma Usul Esas.</v>
      </c>
      <c r="K261" s="5" t="str">
        <f>VLOOKUP(I261,[1]Sayfa1!$A:$C,3,0)</f>
        <v>md. 21/a</v>
      </c>
    </row>
    <row r="262" spans="5:11" ht="43.5" x14ac:dyDescent="0.35">
      <c r="E262" s="3">
        <v>260</v>
      </c>
      <c r="F262" s="3" t="s">
        <v>282</v>
      </c>
      <c r="G262" s="3" t="s">
        <v>650</v>
      </c>
      <c r="H262" s="3" t="s">
        <v>717</v>
      </c>
      <c r="I262" s="12" t="s">
        <v>279</v>
      </c>
      <c r="J262" s="5" t="str">
        <f>VLOOKUP(I262,[1]Sayfa1!$A:$C,2,0)</f>
        <v>Gençlik Liderliği Çalışma Usul Esas.</v>
      </c>
      <c r="K262" s="5" t="str">
        <f>VLOOKUP(I262,[1]Sayfa1!$A:$C,3,0)</f>
        <v>md. 21</v>
      </c>
    </row>
    <row r="263" spans="5:11" ht="43.5" x14ac:dyDescent="0.35">
      <c r="E263" s="3">
        <v>261</v>
      </c>
      <c r="F263" s="3" t="s">
        <v>282</v>
      </c>
      <c r="G263" s="3" t="s">
        <v>650</v>
      </c>
      <c r="H263" s="3" t="s">
        <v>717</v>
      </c>
      <c r="I263" s="6" t="s">
        <v>280</v>
      </c>
      <c r="J263" s="5" t="str">
        <f>VLOOKUP(I263,[1]Sayfa1!$A:$C,2,0)</f>
        <v>Gençlik Liderliği Çalışma Usul Esas.</v>
      </c>
      <c r="K263" s="5" t="str">
        <f>VLOOKUP(I263,[1]Sayfa1!$A:$C,3,0)</f>
        <v>md. 19</v>
      </c>
    </row>
    <row r="264" spans="5:11" ht="43.5" x14ac:dyDescent="0.35">
      <c r="E264" s="3">
        <v>262</v>
      </c>
      <c r="F264" s="3" t="s">
        <v>282</v>
      </c>
      <c r="G264" s="3" t="s">
        <v>650</v>
      </c>
      <c r="H264" s="3" t="s">
        <v>717</v>
      </c>
      <c r="I264" s="12" t="s">
        <v>281</v>
      </c>
      <c r="J264" s="5" t="str">
        <f>VLOOKUP(I264,[1]Sayfa1!$A:$C,2,0)</f>
        <v>Gençlik Liderliği Çalışma Usul Esas.</v>
      </c>
      <c r="K264" s="5" t="str">
        <f>VLOOKUP(I264,[1]Sayfa1!$A:$C,3,0)</f>
        <v>md. 19/3</v>
      </c>
    </row>
    <row r="265" spans="5:11" ht="46.5" x14ac:dyDescent="0.35">
      <c r="E265" s="3">
        <v>263</v>
      </c>
      <c r="F265" s="3" t="s">
        <v>365</v>
      </c>
      <c r="G265" s="3" t="s">
        <v>650</v>
      </c>
      <c r="H265" s="3" t="s">
        <v>718</v>
      </c>
      <c r="I265" s="5" t="s">
        <v>283</v>
      </c>
      <c r="J265" s="5" t="str">
        <f>VLOOKUP(I265,[1]Sayfa1!$A:$C,2,0)</f>
        <v>311 Seri No'lu Gelir Vergisi T</v>
      </c>
      <c r="K265" s="5" t="str">
        <f>VLOOKUP(I265,[1]Sayfa1!$A:$C,3,0)</f>
        <v>tebliği</v>
      </c>
    </row>
    <row r="266" spans="5:11" ht="46.5" x14ac:dyDescent="0.35">
      <c r="E266" s="3">
        <v>264</v>
      </c>
      <c r="F266" s="3" t="s">
        <v>365</v>
      </c>
      <c r="G266" s="3" t="s">
        <v>650</v>
      </c>
      <c r="H266" s="3" t="s">
        <v>718</v>
      </c>
      <c r="I266" s="5" t="s">
        <v>284</v>
      </c>
      <c r="J266" s="5" t="str">
        <f>VLOOKUP(I266,[1]Sayfa1!$A:$C,2,0)</f>
        <v>Gelir Vergisi Kanunu Md. 1</v>
      </c>
      <c r="K266" s="5" t="str">
        <f>VLOOKUP(I266,[1]Sayfa1!$A:$C,3,0)</f>
        <v>md. 103-104</v>
      </c>
    </row>
    <row r="267" spans="5:11" ht="46.5" x14ac:dyDescent="0.35">
      <c r="E267" s="3">
        <v>265</v>
      </c>
      <c r="F267" s="3" t="s">
        <v>365</v>
      </c>
      <c r="G267" s="3" t="s">
        <v>650</v>
      </c>
      <c r="H267" s="3" t="s">
        <v>719</v>
      </c>
      <c r="I267" s="5" t="s">
        <v>285</v>
      </c>
      <c r="J267" s="5" t="str">
        <f>VLOOKUP(I267,[1]Sayfa1!$A:$C,2,0)</f>
        <v>311 Seri No'lu Gelir Vergisi T</v>
      </c>
      <c r="K267" s="5" t="str">
        <f>VLOOKUP(I267,[1]Sayfa1!$A:$C,3,0)</f>
        <v>tebliği</v>
      </c>
    </row>
    <row r="268" spans="5:11" ht="46.5" x14ac:dyDescent="0.35">
      <c r="E268" s="3">
        <v>266</v>
      </c>
      <c r="F268" s="3" t="s">
        <v>365</v>
      </c>
      <c r="G268" s="3" t="s">
        <v>650</v>
      </c>
      <c r="H268" s="3" t="s">
        <v>720</v>
      </c>
      <c r="I268" s="10" t="s">
        <v>286</v>
      </c>
      <c r="J268" s="5">
        <f>VLOOKUP(I268,[1]Sayfa1!$A:$C,2,0)</f>
        <v>0</v>
      </c>
      <c r="K268" s="5" t="str">
        <f>VLOOKUP(I268,[1]Sayfa1!$A:$C,3,0)</f>
        <v>tebliği</v>
      </c>
    </row>
    <row r="269" spans="5:11" ht="46.5" x14ac:dyDescent="0.35">
      <c r="E269" s="3">
        <v>267</v>
      </c>
      <c r="F269" s="3" t="s">
        <v>365</v>
      </c>
      <c r="G269" s="3" t="s">
        <v>650</v>
      </c>
      <c r="H269" s="3" t="s">
        <v>720</v>
      </c>
      <c r="I269" s="10" t="s">
        <v>287</v>
      </c>
      <c r="J269" s="5" t="str">
        <f>VLOOKUP(I269,[1]Sayfa1!$A:$C,2,0)</f>
        <v>KDV Genel Uygulama Tebliği 2.1.3.</v>
      </c>
      <c r="K269" s="5" t="str">
        <f>VLOOKUP(I269,[1]Sayfa1!$A:$C,3,0)</f>
        <v>tebliği 2.1.3.2.13</v>
      </c>
    </row>
    <row r="270" spans="5:11" ht="46.5" x14ac:dyDescent="0.35">
      <c r="E270" s="3">
        <v>268</v>
      </c>
      <c r="F270" s="3" t="s">
        <v>365</v>
      </c>
      <c r="G270" s="3" t="s">
        <v>650</v>
      </c>
      <c r="H270" s="3" t="s">
        <v>721</v>
      </c>
      <c r="I270" s="10" t="s">
        <v>288</v>
      </c>
      <c r="J270" s="5" t="str">
        <f>VLOOKUP(I270,[1]Sayfa1!$A:$C,2,0)</f>
        <v>Merkezi Yön. Muhasebe Yön.</v>
      </c>
      <c r="K270" s="5" t="str">
        <f>VLOOKUP(I270,[1]Sayfa1!$A:$C,3,0)</f>
        <v>md. 543</v>
      </c>
    </row>
    <row r="271" spans="5:11" ht="46.5" x14ac:dyDescent="0.35">
      <c r="E271" s="3">
        <v>269</v>
      </c>
      <c r="F271" s="3" t="s">
        <v>365</v>
      </c>
      <c r="G271" s="3" t="s">
        <v>650</v>
      </c>
      <c r="H271" s="3" t="s">
        <v>721</v>
      </c>
      <c r="I271" s="10" t="s">
        <v>289</v>
      </c>
      <c r="J271" s="5" t="str">
        <f>VLOOKUP(I271,[1]Sayfa1!$A:$C,2,0)</f>
        <v>Merkezi Yön. Muhasebe Yön.</v>
      </c>
      <c r="K271" s="5" t="str">
        <f>VLOOKUP(I271,[1]Sayfa1!$A:$C,3,0)</f>
        <v>md. 544</v>
      </c>
    </row>
    <row r="272" spans="5:11" ht="62" x14ac:dyDescent="0.35">
      <c r="E272" s="3">
        <v>270</v>
      </c>
      <c r="F272" s="3" t="s">
        <v>365</v>
      </c>
      <c r="G272" s="3" t="s">
        <v>650</v>
      </c>
      <c r="H272" s="3" t="s">
        <v>722</v>
      </c>
      <c r="I272" s="10" t="s">
        <v>290</v>
      </c>
      <c r="J272" s="5" t="str">
        <f>VLOOKUP(I272,[1]Sayfa1!$A:$C,2,0)</f>
        <v>Merkezi Yönetim Muhasebe Yön.</v>
      </c>
      <c r="K272" s="5" t="str">
        <f>VLOOKUP(I272,[1]Sayfa1!$A:$C,3,0)</f>
        <v>yön.</v>
      </c>
    </row>
    <row r="273" spans="5:11" ht="46.5" x14ac:dyDescent="0.35">
      <c r="E273" s="3">
        <v>271</v>
      </c>
      <c r="F273" s="3" t="s">
        <v>365</v>
      </c>
      <c r="G273" s="3" t="s">
        <v>650</v>
      </c>
      <c r="H273" s="3" t="s">
        <v>722</v>
      </c>
      <c r="I273" s="5" t="s">
        <v>291</v>
      </c>
      <c r="J273" s="5">
        <f>VLOOKUP(I273,[1]Sayfa1!$A:$C,2,0)</f>
        <v>0</v>
      </c>
      <c r="K273" s="5" t="str">
        <f>VLOOKUP(I273,[1]Sayfa1!$A:$C,3,0)</f>
        <v>yön.</v>
      </c>
    </row>
    <row r="274" spans="5:11" ht="46.5" x14ac:dyDescent="0.35">
      <c r="E274" s="3">
        <v>272</v>
      </c>
      <c r="F274" s="3" t="s">
        <v>365</v>
      </c>
      <c r="G274" s="3" t="s">
        <v>650</v>
      </c>
      <c r="H274" s="3" t="s">
        <v>722</v>
      </c>
      <c r="I274" s="10" t="s">
        <v>292</v>
      </c>
      <c r="J274" s="5" t="str">
        <f>VLOOKUP(I274,[1]Sayfa1!$A:$C,2,0)</f>
        <v>Merkezi Yönetim Muhasebe Yön.</v>
      </c>
      <c r="K274" s="5" t="str">
        <f>VLOOKUP(I274,[1]Sayfa1!$A:$C,3,0)</f>
        <v>md. 214-215</v>
      </c>
    </row>
    <row r="275" spans="5:11" ht="46.5" x14ac:dyDescent="0.35">
      <c r="E275" s="3">
        <v>273</v>
      </c>
      <c r="F275" s="3" t="s">
        <v>365</v>
      </c>
      <c r="G275" s="3" t="s">
        <v>650</v>
      </c>
      <c r="H275" s="3" t="s">
        <v>722</v>
      </c>
      <c r="I275" s="10" t="s">
        <v>293</v>
      </c>
      <c r="J275" s="5">
        <f>VLOOKUP(I275,[1]Sayfa1!$A:$C,2,0)</f>
        <v>0</v>
      </c>
      <c r="K275" s="5" t="str">
        <f>VLOOKUP(I275,[1]Sayfa1!$A:$C,3,0)</f>
        <v>yön.</v>
      </c>
    </row>
    <row r="276" spans="5:11" ht="62" x14ac:dyDescent="0.35">
      <c r="E276" s="3">
        <v>274</v>
      </c>
      <c r="F276" s="3" t="s">
        <v>365</v>
      </c>
      <c r="G276" s="3" t="s">
        <v>650</v>
      </c>
      <c r="H276" s="3" t="s">
        <v>722</v>
      </c>
      <c r="I276" s="10" t="s">
        <v>294</v>
      </c>
      <c r="J276" s="5" t="str">
        <f>VLOOKUP(I276,[1]Sayfa1!$A:$C,2,0)</f>
        <v>4735 S.K. Md. 13 / Merkezi Yön. Muhasebe Yön.</v>
      </c>
      <c r="K276" s="5" t="str">
        <f>VLOOKUP(I276,[1]Sayfa1!$A:$C,3,0)</f>
        <v>md. 257</v>
      </c>
    </row>
    <row r="277" spans="5:11" ht="46.5" x14ac:dyDescent="0.35">
      <c r="E277" s="3">
        <v>275</v>
      </c>
      <c r="F277" s="3" t="s">
        <v>365</v>
      </c>
      <c r="G277" s="3" t="s">
        <v>650</v>
      </c>
      <c r="H277" s="3" t="s">
        <v>723</v>
      </c>
      <c r="I277" s="5" t="s">
        <v>295</v>
      </c>
      <c r="J277" s="5" t="str">
        <f>VLOOKUP(I277,[1]Sayfa1!$A:$C,2,0)</f>
        <v xml:space="preserve">5018 Sayılı Kanun </v>
      </c>
      <c r="K277" s="5" t="str">
        <f>VLOOKUP(I277,[1]Sayfa1!$A:$C,3,0)</f>
        <v>md. 34</v>
      </c>
    </row>
    <row r="278" spans="5:11" ht="46.5" x14ac:dyDescent="0.35">
      <c r="E278" s="3">
        <v>276</v>
      </c>
      <c r="F278" s="3" t="s">
        <v>365</v>
      </c>
      <c r="G278" s="3" t="s">
        <v>650</v>
      </c>
      <c r="H278" s="3" t="s">
        <v>723</v>
      </c>
      <c r="I278" s="5" t="s">
        <v>296</v>
      </c>
      <c r="J278" s="5" t="str">
        <f>VLOOKUP(I278,[1]Sayfa1!$A:$C,2,0)</f>
        <v xml:space="preserve">5018 Sayılı Kanun </v>
      </c>
      <c r="K278" s="5" t="str">
        <f>VLOOKUP(I278,[1]Sayfa1!$A:$C,3,0)</f>
        <v>md. 34</v>
      </c>
    </row>
    <row r="279" spans="5:11" ht="46.5" x14ac:dyDescent="0.35">
      <c r="E279" s="3">
        <v>277</v>
      </c>
      <c r="F279" s="3" t="s">
        <v>365</v>
      </c>
      <c r="G279" s="3" t="s">
        <v>650</v>
      </c>
      <c r="H279" s="3" t="s">
        <v>724</v>
      </c>
      <c r="I279" s="10" t="s">
        <v>297</v>
      </c>
      <c r="J279" s="5" t="str">
        <f>VLOOKUP(I279,[1]Sayfa1!$A:$C,2,0)</f>
        <v>Taşra Teşkilatı Bütçe Muhasebe Yön.</v>
      </c>
      <c r="K279" s="5" t="str">
        <f>VLOOKUP(I279,[1]Sayfa1!$A:$C,3,0)</f>
        <v>md. 28</v>
      </c>
    </row>
    <row r="280" spans="5:11" ht="46.5" x14ac:dyDescent="0.35">
      <c r="E280" s="3">
        <v>278</v>
      </c>
      <c r="F280" s="3" t="s">
        <v>365</v>
      </c>
      <c r="G280" s="3" t="s">
        <v>650</v>
      </c>
      <c r="H280" s="3" t="s">
        <v>724</v>
      </c>
      <c r="I280" s="10" t="s">
        <v>298</v>
      </c>
      <c r="J280" s="5" t="str">
        <f>VLOOKUP(I280,[1]Sayfa1!$A:$C,2,0)</f>
        <v>Taşra Teşkilatı Bütçe Muhasebe Yön.</v>
      </c>
      <c r="K280" s="5" t="str">
        <f>VLOOKUP(I280,[1]Sayfa1!$A:$C,3,0)</f>
        <v>md. 28</v>
      </c>
    </row>
    <row r="281" spans="5:11" ht="46.5" x14ac:dyDescent="0.35">
      <c r="E281" s="3">
        <v>279</v>
      </c>
      <c r="F281" s="3" t="s">
        <v>365</v>
      </c>
      <c r="G281" s="3" t="s">
        <v>650</v>
      </c>
      <c r="H281" s="3" t="s">
        <v>724</v>
      </c>
      <c r="I281" s="5" t="s">
        <v>299</v>
      </c>
      <c r="J281" s="5" t="str">
        <f>VLOOKUP(I281,[1]Sayfa1!$A:$C,2,0)</f>
        <v xml:space="preserve">488 Sayılı Damga Vergisi </v>
      </c>
      <c r="K281" s="5" t="str">
        <f>VLOOKUP(I281,[1]Sayfa1!$A:$C,3,0)</f>
        <v>kanunu</v>
      </c>
    </row>
    <row r="282" spans="5:11" ht="46.5" x14ac:dyDescent="0.35">
      <c r="E282" s="3">
        <v>280</v>
      </c>
      <c r="F282" s="3" t="s">
        <v>365</v>
      </c>
      <c r="G282" s="3" t="s">
        <v>650</v>
      </c>
      <c r="H282" s="3" t="s">
        <v>725</v>
      </c>
      <c r="I282" s="10" t="s">
        <v>300</v>
      </c>
      <c r="J282" s="5" t="str">
        <f>VLOOKUP(I282,[1]Sayfa1!$A:$C,2,0)</f>
        <v>488 Sayılı DVK (1) Sayılı Tablo IV-1/b</v>
      </c>
      <c r="K282" s="5" t="str">
        <f>VLOOKUP(I282,[1]Sayfa1!$A:$C,3,0)</f>
        <v>ıv-1/b</v>
      </c>
    </row>
    <row r="283" spans="5:11" ht="46.5" x14ac:dyDescent="0.35">
      <c r="E283" s="3">
        <v>281</v>
      </c>
      <c r="F283" s="3" t="s">
        <v>365</v>
      </c>
      <c r="G283" s="3" t="s">
        <v>650</v>
      </c>
      <c r="H283" s="3" t="s">
        <v>725</v>
      </c>
      <c r="I283" s="5" t="s">
        <v>301</v>
      </c>
      <c r="J283" s="5" t="str">
        <f>VLOOKUP(I283,[1]Sayfa1!$A:$C,2,0)</f>
        <v xml:space="preserve">488 Sayılı Damga Vergisi </v>
      </c>
      <c r="K283" s="5" t="str">
        <f>VLOOKUP(I283,[1]Sayfa1!$A:$C,3,0)</f>
        <v>kanunu</v>
      </c>
    </row>
    <row r="284" spans="5:11" ht="46.5" x14ac:dyDescent="0.35">
      <c r="E284" s="3">
        <v>282</v>
      </c>
      <c r="F284" s="3" t="s">
        <v>365</v>
      </c>
      <c r="G284" s="3" t="s">
        <v>650</v>
      </c>
      <c r="H284" s="3" t="s">
        <v>725</v>
      </c>
      <c r="I284" s="5" t="s">
        <v>302</v>
      </c>
      <c r="J284" s="5" t="str">
        <f>VLOOKUP(I284,[1]Sayfa1!$A:$C,2,0)</f>
        <v>30 Seri No'lu Damga Vergisi Genel T</v>
      </c>
      <c r="K284" s="5" t="str">
        <f>VLOOKUP(I284,[1]Sayfa1!$A:$C,3,0)</f>
        <v>tebliği</v>
      </c>
    </row>
    <row r="285" spans="5:11" ht="46.5" x14ac:dyDescent="0.35">
      <c r="E285" s="3">
        <v>283</v>
      </c>
      <c r="F285" s="3" t="s">
        <v>365</v>
      </c>
      <c r="G285" s="3" t="s">
        <v>650</v>
      </c>
      <c r="H285" s="3" t="s">
        <v>725</v>
      </c>
      <c r="I285" s="10" t="s">
        <v>303</v>
      </c>
      <c r="J285" s="5" t="str">
        <f>VLOOKUP(I285,[1]Sayfa1!$A:$C,2,0)</f>
        <v>DVK (1) Sayılı Tablo 2. Madde</v>
      </c>
      <c r="K285" s="5" t="str">
        <f>VLOOKUP(I285,[1]Sayfa1!$A:$C,3,0)</f>
        <v>madde</v>
      </c>
    </row>
    <row r="286" spans="5:11" ht="46.5" x14ac:dyDescent="0.35">
      <c r="E286" s="3">
        <v>284</v>
      </c>
      <c r="F286" s="3" t="s">
        <v>365</v>
      </c>
      <c r="G286" s="3" t="s">
        <v>650</v>
      </c>
      <c r="H286" s="3" t="s">
        <v>718</v>
      </c>
      <c r="I286" s="5" t="s">
        <v>304</v>
      </c>
      <c r="J286" s="5" t="str">
        <f>VLOOKUP(I286,[1]Sayfa1!$A:$C,2,0)</f>
        <v>Harcırah Kanunu / Merkezi Yön. Harcama Belg.</v>
      </c>
      <c r="K286" s="5" t="str">
        <f>VLOOKUP(I286,[1]Sayfa1!$A:$C,3,0)</f>
        <v>harcama belg. yön.</v>
      </c>
    </row>
    <row r="287" spans="5:11" ht="46.5" x14ac:dyDescent="0.35">
      <c r="E287" s="3">
        <v>285</v>
      </c>
      <c r="F287" s="3" t="s">
        <v>365</v>
      </c>
      <c r="G287" s="3" t="s">
        <v>650</v>
      </c>
      <c r="H287" s="3" t="s">
        <v>718</v>
      </c>
      <c r="I287" s="5" t="s">
        <v>305</v>
      </c>
      <c r="J287" s="5" t="str">
        <f>VLOOKUP(I287,[1]Sayfa1!$A:$C,2,0)</f>
        <v>Merkezi Yönetim Harcama Belgeler</v>
      </c>
      <c r="K287" s="5" t="str">
        <f>VLOOKUP(I287,[1]Sayfa1!$A:$C,3,0)</f>
        <v>yön.</v>
      </c>
    </row>
    <row r="288" spans="5:11" ht="46.5" x14ac:dyDescent="0.35">
      <c r="E288" s="3">
        <v>286</v>
      </c>
      <c r="F288" s="3" t="s">
        <v>365</v>
      </c>
      <c r="G288" s="3" t="s">
        <v>650</v>
      </c>
      <c r="H288" s="3" t="s">
        <v>718</v>
      </c>
      <c r="I288" s="5" t="s">
        <v>306</v>
      </c>
      <c r="J288" s="5">
        <f>VLOOKUP(I288,[1]Sayfa1!$A:$C,2,0)</f>
        <v>0</v>
      </c>
      <c r="K288" s="5" t="str">
        <f>VLOOKUP(I288,[1]Sayfa1!$A:$C,3,0)</f>
        <v>md. 33/d</v>
      </c>
    </row>
    <row r="289" spans="5:11" ht="46.5" x14ac:dyDescent="0.35">
      <c r="E289" s="3">
        <v>287</v>
      </c>
      <c r="F289" s="3" t="s">
        <v>365</v>
      </c>
      <c r="G289" s="3" t="s">
        <v>650</v>
      </c>
      <c r="H289" s="3" t="s">
        <v>718</v>
      </c>
      <c r="I289" s="5" t="s">
        <v>307</v>
      </c>
      <c r="J289" s="5" t="str">
        <f>VLOOKUP(I289,[1]Sayfa1!$A:$C,2,0)</f>
        <v>Merkezi Yön. Harcama Belg.</v>
      </c>
      <c r="K289" s="5" t="str">
        <f>VLOOKUP(I289,[1]Sayfa1!$A:$C,3,0)</f>
        <v>harcama belg. yön.</v>
      </c>
    </row>
    <row r="290" spans="5:11" ht="46.5" x14ac:dyDescent="0.35">
      <c r="E290" s="3">
        <v>288</v>
      </c>
      <c r="F290" s="3" t="s">
        <v>365</v>
      </c>
      <c r="G290" s="3" t="s">
        <v>650</v>
      </c>
      <c r="H290" s="3" t="s">
        <v>722</v>
      </c>
      <c r="I290" s="10" t="s">
        <v>308</v>
      </c>
      <c r="J290" s="5" t="str">
        <f>VLOOKUP(I290,[1]Sayfa1!$A:$C,2,0)</f>
        <v>Merkezi Yönetim Muhasebe Yön.</v>
      </c>
      <c r="K290" s="5" t="str">
        <f>VLOOKUP(I290,[1]Sayfa1!$A:$C,3,0)</f>
        <v>md. 184</v>
      </c>
    </row>
    <row r="291" spans="5:11" ht="46.5" x14ac:dyDescent="0.35">
      <c r="E291" s="3">
        <v>289</v>
      </c>
      <c r="F291" s="3" t="s">
        <v>365</v>
      </c>
      <c r="G291" s="3" t="s">
        <v>650</v>
      </c>
      <c r="H291" s="3" t="s">
        <v>722</v>
      </c>
      <c r="I291" s="10" t="s">
        <v>309</v>
      </c>
      <c r="J291" s="5" t="str">
        <f>VLOOKUP(I291,[1]Sayfa1!$A:$C,2,0)</f>
        <v>Merkezi Yönetim Muhasebe Yön.</v>
      </c>
      <c r="K291" s="5" t="str">
        <f>VLOOKUP(I291,[1]Sayfa1!$A:$C,3,0)</f>
        <v>md. 184</v>
      </c>
    </row>
    <row r="292" spans="5:11" ht="46.5" x14ac:dyDescent="0.35">
      <c r="E292" s="3">
        <v>290</v>
      </c>
      <c r="F292" s="3" t="s">
        <v>365</v>
      </c>
      <c r="G292" s="3" t="s">
        <v>650</v>
      </c>
      <c r="H292" s="3" t="s">
        <v>722</v>
      </c>
      <c r="I292" s="10" t="s">
        <v>310</v>
      </c>
      <c r="J292" s="5" t="str">
        <f>VLOOKUP(I292,[1]Sayfa1!$A:$C,2,0)</f>
        <v>Genel Yönetim Muhasebe Yön.</v>
      </c>
      <c r="K292" s="5" t="str">
        <f>VLOOKUP(I292,[1]Sayfa1!$A:$C,3,0)</f>
        <v>md. 36-263</v>
      </c>
    </row>
    <row r="293" spans="5:11" ht="62" x14ac:dyDescent="0.35">
      <c r="E293" s="3">
        <v>291</v>
      </c>
      <c r="F293" s="3" t="s">
        <v>365</v>
      </c>
      <c r="G293" s="3" t="s">
        <v>650</v>
      </c>
      <c r="H293" s="3" t="s">
        <v>726</v>
      </c>
      <c r="I293" s="5" t="s">
        <v>311</v>
      </c>
      <c r="J293" s="5" t="str">
        <f>VLOOKUP(I293,[1]Sayfa1!$A:$C,2,0)</f>
        <v>Kamu Haznedarlığı Genel Tebliği</v>
      </c>
      <c r="K293" s="5" t="str">
        <f>VLOOKUP(I293,[1]Sayfa1!$A:$C,3,0)</f>
        <v>md. 6</v>
      </c>
    </row>
    <row r="294" spans="5:11" ht="46.5" x14ac:dyDescent="0.35">
      <c r="E294" s="3">
        <v>292</v>
      </c>
      <c r="F294" s="3" t="s">
        <v>365</v>
      </c>
      <c r="G294" s="3" t="s">
        <v>650</v>
      </c>
      <c r="H294" s="3" t="s">
        <v>718</v>
      </c>
      <c r="I294" s="5" t="s">
        <v>312</v>
      </c>
      <c r="J294" s="5" t="str">
        <f>VLOOKUP(I294,[1]Sayfa1!$A:$C,2,0)</f>
        <v xml:space="preserve">6245 Sayılı Harcırah Kanunu </v>
      </c>
      <c r="K294" s="5" t="str">
        <f>VLOOKUP(I294,[1]Sayfa1!$A:$C,3,0)</f>
        <v>md. 45</v>
      </c>
    </row>
    <row r="295" spans="5:11" ht="62" x14ac:dyDescent="0.35">
      <c r="E295" s="3">
        <v>293</v>
      </c>
      <c r="F295" s="3" t="s">
        <v>365</v>
      </c>
      <c r="G295" s="3" t="s">
        <v>650</v>
      </c>
      <c r="H295" s="3" t="s">
        <v>718</v>
      </c>
      <c r="I295" s="5" t="s">
        <v>313</v>
      </c>
      <c r="J295" s="5" t="str">
        <f>VLOOKUP(I295,[1]Sayfa1!$A:$C,2,0)</f>
        <v>6245 Sayılı Harcırah Kanunu Md.</v>
      </c>
      <c r="K295" s="5" t="str">
        <f>VLOOKUP(I295,[1]Sayfa1!$A:$C,3,0)</f>
        <v>md. 10-45</v>
      </c>
    </row>
    <row r="296" spans="5:11" ht="46.5" x14ac:dyDescent="0.35">
      <c r="E296" s="3">
        <v>294</v>
      </c>
      <c r="F296" s="3" t="s">
        <v>365</v>
      </c>
      <c r="G296" s="3" t="s">
        <v>650</v>
      </c>
      <c r="H296" s="3" t="s">
        <v>718</v>
      </c>
      <c r="I296" s="5" t="s">
        <v>314</v>
      </c>
      <c r="J296" s="5" t="str">
        <f>VLOOKUP(I296,[1]Sayfa1!$A:$C,2,0)</f>
        <v xml:space="preserve">6245 Sayılı Harcırah Kanunu </v>
      </c>
      <c r="K296" s="5" t="str">
        <f>VLOOKUP(I296,[1]Sayfa1!$A:$C,3,0)</f>
        <v>md. 43</v>
      </c>
    </row>
    <row r="297" spans="5:11" ht="62" x14ac:dyDescent="0.35">
      <c r="E297" s="3">
        <v>295</v>
      </c>
      <c r="F297" s="3" t="s">
        <v>365</v>
      </c>
      <c r="G297" s="3" t="s">
        <v>650</v>
      </c>
      <c r="H297" s="3" t="s">
        <v>718</v>
      </c>
      <c r="I297" s="5" t="s">
        <v>315</v>
      </c>
      <c r="J297" s="5" t="str">
        <f>VLOOKUP(I297,[1]Sayfa1!$A:$C,2,0)</f>
        <v>3289 S.K. Md. 29 / 6245 S.K.</v>
      </c>
      <c r="K297" s="5" t="str">
        <f>VLOOKUP(I297,[1]Sayfa1!$A:$C,3,0)</f>
        <v>md. 43</v>
      </c>
    </row>
    <row r="298" spans="5:11" ht="46.5" x14ac:dyDescent="0.35">
      <c r="E298" s="3">
        <v>296</v>
      </c>
      <c r="F298" s="3" t="s">
        <v>365</v>
      </c>
      <c r="G298" s="3" t="s">
        <v>650</v>
      </c>
      <c r="H298" s="3" t="s">
        <v>718</v>
      </c>
      <c r="I298" s="10" t="s">
        <v>316</v>
      </c>
      <c r="J298" s="5" t="str">
        <f>VLOOKUP(I298,[1]Sayfa1!$A:$C,2,0)</f>
        <v xml:space="preserve">6245 Sayılı Harcırah Kanunu </v>
      </c>
      <c r="K298" s="5" t="str">
        <f>VLOOKUP(I298,[1]Sayfa1!$A:$C,3,0)</f>
        <v>md. 39</v>
      </c>
    </row>
    <row r="299" spans="5:11" ht="46.5" x14ac:dyDescent="0.35">
      <c r="E299" s="3">
        <v>297</v>
      </c>
      <c r="F299" s="3" t="s">
        <v>365</v>
      </c>
      <c r="G299" s="3" t="s">
        <v>650</v>
      </c>
      <c r="H299" s="3" t="s">
        <v>718</v>
      </c>
      <c r="I299" s="10" t="s">
        <v>317</v>
      </c>
      <c r="J299" s="5" t="str">
        <f>VLOOKUP(I299,[1]Sayfa1!$A:$C,2,0)</f>
        <v xml:space="preserve">6245 Sayılı Harcırah Kanunu </v>
      </c>
      <c r="K299" s="5" t="str">
        <f>VLOOKUP(I299,[1]Sayfa1!$A:$C,3,0)</f>
        <v>md. 39</v>
      </c>
    </row>
    <row r="300" spans="5:11" ht="46.5" x14ac:dyDescent="0.35">
      <c r="E300" s="3">
        <v>298</v>
      </c>
      <c r="F300" s="3" t="s">
        <v>365</v>
      </c>
      <c r="G300" s="3" t="s">
        <v>650</v>
      </c>
      <c r="H300" s="3" t="s">
        <v>718</v>
      </c>
      <c r="I300" s="5" t="s">
        <v>318</v>
      </c>
      <c r="J300" s="5" t="str">
        <f>VLOOKUP(I300,[1]Sayfa1!$A:$C,2,0)</f>
        <v>6245 Sayılı Harcırah Kanunu</v>
      </c>
      <c r="K300" s="5" t="str">
        <f>VLOOKUP(I300,[1]Sayfa1!$A:$C,3,0)</f>
        <v>md. 6</v>
      </c>
    </row>
    <row r="301" spans="5:11" ht="46.5" x14ac:dyDescent="0.35">
      <c r="E301" s="3">
        <v>299</v>
      </c>
      <c r="F301" s="3" t="s">
        <v>365</v>
      </c>
      <c r="G301" s="3" t="s">
        <v>650</v>
      </c>
      <c r="H301" s="3" t="s">
        <v>718</v>
      </c>
      <c r="I301" s="10" t="s">
        <v>319</v>
      </c>
      <c r="J301" s="5" t="str">
        <f>VLOOKUP(I301,[1]Sayfa1!$A:$C,2,0)</f>
        <v>6245 Sayılı Harcırah Kanunu</v>
      </c>
      <c r="K301" s="5" t="str">
        <f>VLOOKUP(I301,[1]Sayfa1!$A:$C,3,0)</f>
        <v>md. 6</v>
      </c>
    </row>
    <row r="302" spans="5:11" ht="46.5" x14ac:dyDescent="0.35">
      <c r="E302" s="3">
        <v>300</v>
      </c>
      <c r="F302" s="3" t="s">
        <v>365</v>
      </c>
      <c r="G302" s="3" t="s">
        <v>650</v>
      </c>
      <c r="H302" s="3" t="s">
        <v>718</v>
      </c>
      <c r="I302" s="5" t="s">
        <v>320</v>
      </c>
      <c r="J302" s="5" t="str">
        <f>VLOOKUP(I302,[1]Sayfa1!$A:$C,2,0)</f>
        <v xml:space="preserve">6245 Sayılı Harcırah Kanunu </v>
      </c>
      <c r="K302" s="5" t="str">
        <f>VLOOKUP(I302,[1]Sayfa1!$A:$C,3,0)</f>
        <v>md. 40</v>
      </c>
    </row>
    <row r="303" spans="5:11" ht="46.5" x14ac:dyDescent="0.35">
      <c r="E303" s="3">
        <v>301</v>
      </c>
      <c r="F303" s="3" t="s">
        <v>365</v>
      </c>
      <c r="G303" s="3" t="s">
        <v>650</v>
      </c>
      <c r="H303" s="3" t="s">
        <v>718</v>
      </c>
      <c r="I303" s="10" t="s">
        <v>321</v>
      </c>
      <c r="J303" s="5" t="str">
        <f>VLOOKUP(I303,[1]Sayfa1!$A:$C,2,0)</f>
        <v xml:space="preserve">6245 Sayılı Harcırah Kanunu </v>
      </c>
      <c r="K303" s="5" t="str">
        <f>VLOOKUP(I303,[1]Sayfa1!$A:$C,3,0)</f>
        <v>md. 59</v>
      </c>
    </row>
    <row r="304" spans="5:11" ht="46.5" x14ac:dyDescent="0.35">
      <c r="E304" s="3">
        <v>302</v>
      </c>
      <c r="F304" s="3" t="s">
        <v>365</v>
      </c>
      <c r="G304" s="3" t="s">
        <v>650</v>
      </c>
      <c r="H304" s="3" t="s">
        <v>718</v>
      </c>
      <c r="I304" s="5" t="s">
        <v>322</v>
      </c>
      <c r="J304" s="5" t="str">
        <f>VLOOKUP(I304,[1]Sayfa1!$A:$C,2,0)</f>
        <v>85/9616 Sayılı BKK</v>
      </c>
      <c r="K304" s="5" t="str">
        <f>VLOOKUP(I304,[1]Sayfa1!$A:$C,3,0)</f>
        <v>md. 4</v>
      </c>
    </row>
    <row r="305" spans="5:11" ht="46.5" x14ac:dyDescent="0.35">
      <c r="E305" s="3">
        <v>303</v>
      </c>
      <c r="F305" s="3" t="s">
        <v>365</v>
      </c>
      <c r="G305" s="3" t="s">
        <v>650</v>
      </c>
      <c r="H305" s="3" t="s">
        <v>718</v>
      </c>
      <c r="I305" s="5" t="s">
        <v>323</v>
      </c>
      <c r="J305" s="5">
        <f>VLOOKUP(I305,[1]Sayfa1!$A:$C,2,0)</f>
        <v>0</v>
      </c>
      <c r="K305" s="5" t="str">
        <f>VLOOKUP(I305,[1]Sayfa1!$A:$C,3,0)</f>
        <v>esaslar</v>
      </c>
    </row>
    <row r="306" spans="5:11" ht="46.5" x14ac:dyDescent="0.35">
      <c r="E306" s="3">
        <v>304</v>
      </c>
      <c r="F306" s="3" t="s">
        <v>365</v>
      </c>
      <c r="G306" s="3" t="s">
        <v>650</v>
      </c>
      <c r="H306" s="3" t="s">
        <v>718</v>
      </c>
      <c r="I306" s="5" t="s">
        <v>324</v>
      </c>
      <c r="J306" s="5" t="str">
        <f>VLOOKUP(I306,[1]Sayfa1!$A:$C,2,0)</f>
        <v>Kamu Zararlarının Tahsiline İlişkin Usul</v>
      </c>
      <c r="K306" s="5" t="str">
        <f>VLOOKUP(I306,[1]Sayfa1!$A:$C,3,0)</f>
        <v>esas.</v>
      </c>
    </row>
    <row r="307" spans="5:11" ht="46.5" x14ac:dyDescent="0.35">
      <c r="E307" s="3">
        <v>305</v>
      </c>
      <c r="F307" s="3" t="s">
        <v>365</v>
      </c>
      <c r="G307" s="3" t="s">
        <v>650</v>
      </c>
      <c r="H307" s="3" t="s">
        <v>718</v>
      </c>
      <c r="I307" s="5" t="s">
        <v>325</v>
      </c>
      <c r="J307" s="5" t="str">
        <f>VLOOKUP(I307,[1]Sayfa1!$A:$C,2,0)</f>
        <v>Taşra Teşkilatı Bütçe Muhasebe Yön.</v>
      </c>
      <c r="K307" s="5" t="str">
        <f>VLOOKUP(I307,[1]Sayfa1!$A:$C,3,0)</f>
        <v>md. 17</v>
      </c>
    </row>
    <row r="308" spans="5:11" ht="46.5" x14ac:dyDescent="0.35">
      <c r="E308" s="3">
        <v>306</v>
      </c>
      <c r="F308" s="3" t="s">
        <v>365</v>
      </c>
      <c r="G308" s="3" t="s">
        <v>650</v>
      </c>
      <c r="H308" s="3" t="s">
        <v>718</v>
      </c>
      <c r="I308" s="10" t="s">
        <v>326</v>
      </c>
      <c r="J308" s="5" t="str">
        <f>VLOOKUP(I308,[1]Sayfa1!$A:$C,2,0)</f>
        <v>Taşra Teşkilatı Bütçe Muhasebe Yön.</v>
      </c>
      <c r="K308" s="5" t="str">
        <f>VLOOKUP(I308,[1]Sayfa1!$A:$C,3,0)</f>
        <v>md. 17/2</v>
      </c>
    </row>
    <row r="309" spans="5:11" ht="46.5" x14ac:dyDescent="0.35">
      <c r="E309" s="3">
        <v>307</v>
      </c>
      <c r="F309" s="3" t="s">
        <v>365</v>
      </c>
      <c r="G309" s="3" t="s">
        <v>650</v>
      </c>
      <c r="H309" s="3" t="s">
        <v>727</v>
      </c>
      <c r="I309" s="5" t="s">
        <v>327</v>
      </c>
      <c r="J309" s="5" t="str">
        <f>VLOOKUP(I309,[1]Sayfa1!$A:$C,2,0)</f>
        <v>Taşra Teşkilatı Bütçe Muhasebe Yön.</v>
      </c>
      <c r="K309" s="5" t="str">
        <f>VLOOKUP(I309,[1]Sayfa1!$A:$C,3,0)</f>
        <v>md. 17</v>
      </c>
    </row>
    <row r="310" spans="5:11" ht="46.5" x14ac:dyDescent="0.35">
      <c r="E310" s="3">
        <v>308</v>
      </c>
      <c r="F310" s="3" t="s">
        <v>365</v>
      </c>
      <c r="G310" s="3" t="s">
        <v>650</v>
      </c>
      <c r="H310" s="3" t="s">
        <v>656</v>
      </c>
      <c r="I310" s="5" t="s">
        <v>328</v>
      </c>
      <c r="J310" s="5">
        <f>VLOOKUP(I310,[1]Sayfa1!$A:$C,2,0)</f>
        <v>0</v>
      </c>
      <c r="K310" s="5" t="str">
        <f>VLOOKUP(I310,[1]Sayfa1!$A:$C,3,0)</f>
        <v>md. 26</v>
      </c>
    </row>
    <row r="311" spans="5:11" ht="46.5" x14ac:dyDescent="0.35">
      <c r="E311" s="3">
        <v>309</v>
      </c>
      <c r="F311" s="3" t="s">
        <v>365</v>
      </c>
      <c r="G311" s="3" t="s">
        <v>650</v>
      </c>
      <c r="H311" s="3" t="s">
        <v>656</v>
      </c>
      <c r="I311" s="10" t="s">
        <v>329</v>
      </c>
      <c r="J311" s="5" t="str">
        <f>VLOOKUP(I311,[1]Sayfa1!$A:$C,2,0)</f>
        <v>5018 S.K. Md.</v>
      </c>
      <c r="K311" s="5" t="str">
        <f>VLOOKUP(I311,[1]Sayfa1!$A:$C,3,0)</f>
        <v>md. 71 / kamu zararı yön.</v>
      </c>
    </row>
    <row r="312" spans="5:11" ht="46.5" x14ac:dyDescent="0.35">
      <c r="E312" s="3">
        <v>310</v>
      </c>
      <c r="F312" s="3" t="s">
        <v>365</v>
      </c>
      <c r="G312" s="3" t="s">
        <v>650</v>
      </c>
      <c r="H312" s="3" t="s">
        <v>657</v>
      </c>
      <c r="I312" s="10" t="s">
        <v>330</v>
      </c>
      <c r="J312" s="5">
        <f>VLOOKUP(I312,[1]Sayfa1!$A:$C,2,0)</f>
        <v>0</v>
      </c>
      <c r="K312" s="5" t="str">
        <f>VLOOKUP(I312,[1]Sayfa1!$A:$C,3,0)</f>
        <v>yazı</v>
      </c>
    </row>
    <row r="313" spans="5:11" ht="46.5" x14ac:dyDescent="0.35">
      <c r="E313" s="3">
        <v>311</v>
      </c>
      <c r="F313" s="3" t="s">
        <v>365</v>
      </c>
      <c r="G313" s="3" t="s">
        <v>650</v>
      </c>
      <c r="H313" s="3" t="s">
        <v>657</v>
      </c>
      <c r="I313" s="5" t="s">
        <v>331</v>
      </c>
      <c r="J313" s="5" t="str">
        <f>VLOOKUP(I313,[1]Sayfa1!$A:$C,2,0)</f>
        <v>SGB 21.07.</v>
      </c>
      <c r="K313" s="5" t="str">
        <f>VLOOKUP(I313,[1]Sayfa1!$A:$C,3,0)</f>
        <v>yazı</v>
      </c>
    </row>
    <row r="314" spans="5:11" ht="46.5" x14ac:dyDescent="0.35">
      <c r="E314" s="3">
        <v>312</v>
      </c>
      <c r="F314" s="3" t="s">
        <v>365</v>
      </c>
      <c r="G314" s="3" t="s">
        <v>650</v>
      </c>
      <c r="H314" s="3" t="s">
        <v>657</v>
      </c>
      <c r="I314" s="5" t="s">
        <v>332</v>
      </c>
      <c r="J314" s="5" t="str">
        <f>VLOOKUP(I314,[1]Sayfa1!$A:$C,2,0)</f>
        <v>5018 S.K. (Ekonomiklik ve Verimlilik İlkesi)</v>
      </c>
      <c r="K314" s="5" t="str">
        <f>VLOOKUP(I314,[1]Sayfa1!$A:$C,3,0)</f>
        <v>ilkesi)</v>
      </c>
    </row>
    <row r="315" spans="5:11" ht="46.5" x14ac:dyDescent="0.35">
      <c r="E315" s="3">
        <v>313</v>
      </c>
      <c r="F315" s="3" t="s">
        <v>365</v>
      </c>
      <c r="G315" s="3" t="s">
        <v>650</v>
      </c>
      <c r="H315" s="3" t="s">
        <v>657</v>
      </c>
      <c r="I315" s="10" t="s">
        <v>333</v>
      </c>
      <c r="J315" s="5">
        <f>VLOOKUP(I315,[1]Sayfa1!$A:$C,2,0)</f>
        <v>0</v>
      </c>
      <c r="K315" s="5" t="str">
        <f>VLOOKUP(I315,[1]Sayfa1!$A:$C,3,0)</f>
        <v>kullanımı</v>
      </c>
    </row>
    <row r="316" spans="5:11" ht="62" x14ac:dyDescent="0.35">
      <c r="E316" s="3">
        <v>314</v>
      </c>
      <c r="F316" s="3" t="s">
        <v>365</v>
      </c>
      <c r="G316" s="3" t="s">
        <v>650</v>
      </c>
      <c r="H316" s="3" t="s">
        <v>718</v>
      </c>
      <c r="I316" s="5" t="s">
        <v>334</v>
      </c>
      <c r="J316" s="5" t="str">
        <f>VLOOKUP(I316,[1]Sayfa1!$A:$C,2,0)</f>
        <v xml:space="preserve">6245 Sayılı Harcırah Kanunu </v>
      </c>
      <c r="K316" s="5" t="str">
        <f>VLOOKUP(I316,[1]Sayfa1!$A:$C,3,0)</f>
        <v>md. 31</v>
      </c>
    </row>
    <row r="317" spans="5:11" ht="46.5" x14ac:dyDescent="0.35">
      <c r="E317" s="3">
        <v>315</v>
      </c>
      <c r="F317" s="3" t="s">
        <v>365</v>
      </c>
      <c r="G317" s="3" t="s">
        <v>650</v>
      </c>
      <c r="H317" s="3" t="s">
        <v>723</v>
      </c>
      <c r="I317" s="5" t="s">
        <v>335</v>
      </c>
      <c r="J317" s="5">
        <f>VLOOKUP(I317,[1]Sayfa1!$A:$C,2,0)</f>
        <v>0</v>
      </c>
      <c r="K317" s="5" t="str">
        <f>VLOOKUP(I317,[1]Sayfa1!$A:$C,3,0)</f>
        <v>yönetmeliği</v>
      </c>
    </row>
    <row r="318" spans="5:11" ht="46.5" x14ac:dyDescent="0.35">
      <c r="E318" s="3">
        <v>316</v>
      </c>
      <c r="F318" s="3" t="s">
        <v>365</v>
      </c>
      <c r="G318" s="3" t="s">
        <v>650</v>
      </c>
      <c r="H318" s="3" t="s">
        <v>728</v>
      </c>
      <c r="I318" s="10" t="s">
        <v>336</v>
      </c>
      <c r="J318" s="5" t="str">
        <f>VLOOKUP(I318,[1]Sayfa1!$A:$C,2,0)</f>
        <v>Taşra Teşkilatı Bütçe Muhasebe Yön.</v>
      </c>
      <c r="K318" s="5" t="str">
        <f>VLOOKUP(I318,[1]Sayfa1!$A:$C,3,0)</f>
        <v>md. 42</v>
      </c>
    </row>
    <row r="319" spans="5:11" ht="46.5" x14ac:dyDescent="0.35">
      <c r="E319" s="3">
        <v>317</v>
      </c>
      <c r="F319" s="3" t="s">
        <v>365</v>
      </c>
      <c r="G319" s="3" t="s">
        <v>650</v>
      </c>
      <c r="H319" s="3" t="s">
        <v>728</v>
      </c>
      <c r="I319" s="5" t="s">
        <v>337</v>
      </c>
      <c r="J319" s="5" t="str">
        <f>VLOOKUP(I319,[1]Sayfa1!$A:$C,2,0)</f>
        <v>Taşra Teşkilatı Bütçe Muhasebe Yön.</v>
      </c>
      <c r="K319" s="5" t="str">
        <f>VLOOKUP(I319,[1]Sayfa1!$A:$C,3,0)</f>
        <v>md. 41</v>
      </c>
    </row>
    <row r="320" spans="5:11" ht="46.5" x14ac:dyDescent="0.35">
      <c r="E320" s="3">
        <v>318</v>
      </c>
      <c r="F320" s="3" t="s">
        <v>365</v>
      </c>
      <c r="G320" s="3" t="s">
        <v>650</v>
      </c>
      <c r="H320" s="3" t="s">
        <v>728</v>
      </c>
      <c r="I320" s="10" t="s">
        <v>338</v>
      </c>
      <c r="J320" s="5" t="str">
        <f>VLOOKUP(I320,[1]Sayfa1!$A:$C,2,0)</f>
        <v>Taşra Teşkilatı Bütçe Muhasebe Yön.</v>
      </c>
      <c r="K320" s="5" t="str">
        <f>VLOOKUP(I320,[1]Sayfa1!$A:$C,3,0)</f>
        <v>md. 43</v>
      </c>
    </row>
    <row r="321" spans="5:11" ht="46.5" x14ac:dyDescent="0.35">
      <c r="E321" s="3">
        <v>319</v>
      </c>
      <c r="F321" s="3" t="s">
        <v>365</v>
      </c>
      <c r="G321" s="3" t="s">
        <v>650</v>
      </c>
      <c r="H321" s="3" t="s">
        <v>657</v>
      </c>
      <c r="I321" s="5" t="s">
        <v>339</v>
      </c>
      <c r="J321" s="5" t="str">
        <f>VLOOKUP(I321,[1]Sayfa1!$A:$C,2,0)</f>
        <v>Merkezi Yön. Harcama Belgeleri Yön.</v>
      </c>
      <c r="K321" s="5" t="str">
        <f>VLOOKUP(I321,[1]Sayfa1!$A:$C,3,0)</f>
        <v>md. 43</v>
      </c>
    </row>
    <row r="322" spans="5:11" ht="46.5" x14ac:dyDescent="0.35">
      <c r="E322" s="3">
        <v>320</v>
      </c>
      <c r="F322" s="3" t="s">
        <v>365</v>
      </c>
      <c r="G322" s="3" t="s">
        <v>650</v>
      </c>
      <c r="H322" s="3" t="s">
        <v>728</v>
      </c>
      <c r="I322" s="5" t="s">
        <v>340</v>
      </c>
      <c r="J322" s="5" t="str">
        <f>VLOOKUP(I322,[1]Sayfa1!$A:$C,2,0)</f>
        <v>Taşra Teşkilatı Bütçe Muhasebe Yön.</v>
      </c>
      <c r="K322" s="5" t="str">
        <f>VLOOKUP(I322,[1]Sayfa1!$A:$C,3,0)</f>
        <v>md. 41</v>
      </c>
    </row>
    <row r="323" spans="5:11" ht="46.5" x14ac:dyDescent="0.35">
      <c r="E323" s="3">
        <v>321</v>
      </c>
      <c r="F323" s="3" t="s">
        <v>365</v>
      </c>
      <c r="G323" s="3" t="s">
        <v>650</v>
      </c>
      <c r="H323" s="3" t="s">
        <v>656</v>
      </c>
      <c r="I323" s="5" t="s">
        <v>341</v>
      </c>
      <c r="J323" s="5" t="str">
        <f>VLOOKUP(I323,[1]Sayfa1!$A:$C,2,0)</f>
        <v>M.Y.</v>
      </c>
      <c r="K323" s="5" t="str">
        <f>VLOOKUP(I323,[1]Sayfa1!$A:$C,3,0)</f>
        <v>mutemetleri yönetmeliği md. 5</v>
      </c>
    </row>
    <row r="324" spans="5:11" ht="62" x14ac:dyDescent="0.35">
      <c r="E324" s="3">
        <v>322</v>
      </c>
      <c r="F324" s="3" t="s">
        <v>365</v>
      </c>
      <c r="G324" s="3" t="s">
        <v>650</v>
      </c>
      <c r="H324" s="3" t="s">
        <v>657</v>
      </c>
      <c r="I324" s="10" t="s">
        <v>342</v>
      </c>
      <c r="J324" s="5" t="str">
        <f>VLOOKUP(I324,[1]Sayfa1!$A:$C,2,0)</f>
        <v>Beslenme ve Barınma Yardımı Usul Esas.</v>
      </c>
      <c r="K324" s="5" t="str">
        <f>VLOOKUP(I324,[1]Sayfa1!$A:$C,3,0)</f>
        <v>md. 7</v>
      </c>
    </row>
    <row r="325" spans="5:11" ht="46.5" x14ac:dyDescent="0.35">
      <c r="E325" s="3">
        <v>323</v>
      </c>
      <c r="F325" s="3" t="s">
        <v>365</v>
      </c>
      <c r="G325" s="3" t="s">
        <v>650</v>
      </c>
      <c r="H325" s="3" t="s">
        <v>657</v>
      </c>
      <c r="I325" s="10" t="s">
        <v>343</v>
      </c>
      <c r="J325" s="5" t="str">
        <f>VLOOKUP(I325,[1]Sayfa1!$A:$C,2,0)</f>
        <v>Beslenme ve Barınma Yardımı Usul Esas.</v>
      </c>
      <c r="K325" s="5" t="str">
        <f>VLOOKUP(I325,[1]Sayfa1!$A:$C,3,0)</f>
        <v>md. 7</v>
      </c>
    </row>
    <row r="326" spans="5:11" ht="46.5" x14ac:dyDescent="0.35">
      <c r="E326" s="3">
        <v>324</v>
      </c>
      <c r="F326" s="3" t="s">
        <v>365</v>
      </c>
      <c r="G326" s="3" t="s">
        <v>650</v>
      </c>
      <c r="H326" s="3" t="s">
        <v>729</v>
      </c>
      <c r="I326" s="5" t="s">
        <v>344</v>
      </c>
      <c r="J326" s="5">
        <f>VLOOKUP(I326,[1]Sayfa1!$A:$C,2,0)</f>
        <v>0</v>
      </c>
      <c r="K326" s="5" t="str">
        <f>VLOOKUP(I326,[1]Sayfa1!$A:$C,3,0)</f>
        <v>yön.</v>
      </c>
    </row>
    <row r="327" spans="5:11" ht="46.5" x14ac:dyDescent="0.35">
      <c r="E327" s="3">
        <v>325</v>
      </c>
      <c r="F327" s="3" t="s">
        <v>365</v>
      </c>
      <c r="G327" s="3" t="s">
        <v>650</v>
      </c>
      <c r="H327" s="3" t="s">
        <v>656</v>
      </c>
      <c r="I327" s="10" t="s">
        <v>345</v>
      </c>
      <c r="J327" s="5">
        <f>VLOOKUP(I327,[1]Sayfa1!$A:$C,2,0)</f>
        <v>0</v>
      </c>
      <c r="K327" s="5" t="str">
        <f>VLOOKUP(I327,[1]Sayfa1!$A:$C,3,0)</f>
        <v>md. 12</v>
      </c>
    </row>
    <row r="328" spans="5:11" ht="46.5" x14ac:dyDescent="0.35">
      <c r="E328" s="3">
        <v>326</v>
      </c>
      <c r="F328" s="3" t="s">
        <v>365</v>
      </c>
      <c r="G328" s="3" t="s">
        <v>650</v>
      </c>
      <c r="H328" s="3" t="s">
        <v>722</v>
      </c>
      <c r="I328" s="10" t="s">
        <v>346</v>
      </c>
      <c r="J328" s="5" t="str">
        <f>VLOOKUP(I328,[1]Sayfa1!$A:$C,2,0)</f>
        <v>İşletme Yönetmeliği Md. 12 / Vergi Kan</v>
      </c>
      <c r="K328" s="5" t="str">
        <f>VLOOKUP(I328,[1]Sayfa1!$A:$C,3,0)</f>
        <v>kanunları</v>
      </c>
    </row>
    <row r="329" spans="5:11" ht="46.5" x14ac:dyDescent="0.35">
      <c r="E329" s="3">
        <v>327</v>
      </c>
      <c r="F329" s="3" t="s">
        <v>365</v>
      </c>
      <c r="G329" s="3" t="s">
        <v>650</v>
      </c>
      <c r="H329" s="3" t="s">
        <v>656</v>
      </c>
      <c r="I329" s="10" t="s">
        <v>347</v>
      </c>
      <c r="J329" s="5" t="str">
        <f>VLOOKUP(I329,[1]Sayfa1!$A:$C,2,0)</f>
        <v>İşletme Yönetmeliği / Reklam Ta</v>
      </c>
      <c r="K329" s="5" t="str">
        <f>VLOOKUP(I329,[1]Sayfa1!$A:$C,3,0)</f>
        <v>talimatı</v>
      </c>
    </row>
    <row r="330" spans="5:11" ht="46.5" x14ac:dyDescent="0.35">
      <c r="E330" s="3">
        <v>328</v>
      </c>
      <c r="F330" s="3" t="s">
        <v>365</v>
      </c>
      <c r="G330" s="3" t="s">
        <v>650</v>
      </c>
      <c r="H330" s="3" t="s">
        <v>654</v>
      </c>
      <c r="I330" s="5" t="s">
        <v>348</v>
      </c>
      <c r="J330" s="5">
        <f>VLOOKUP(I330,[1]Sayfa1!$A:$C,2,0)</f>
        <v>0</v>
      </c>
      <c r="K330" s="5" t="str">
        <f>VLOOKUP(I330,[1]Sayfa1!$A:$C,3,0)</f>
        <v>yönetmeliği</v>
      </c>
    </row>
    <row r="331" spans="5:11" ht="46.5" x14ac:dyDescent="0.35">
      <c r="E331" s="3">
        <v>329</v>
      </c>
      <c r="F331" s="3" t="s">
        <v>365</v>
      </c>
      <c r="G331" s="3" t="s">
        <v>650</v>
      </c>
      <c r="H331" s="3" t="s">
        <v>730</v>
      </c>
      <c r="I331" s="10" t="s">
        <v>349</v>
      </c>
      <c r="J331" s="5" t="str">
        <f>VLOOKUP(I331,[1]Sayfa1!$A:$C,2,0)</f>
        <v>Hasılat Dağıtım Yönetmeliği Md</v>
      </c>
      <c r="K331" s="5" t="str">
        <f>VLOOKUP(I331,[1]Sayfa1!$A:$C,3,0)</f>
        <v>md. 5-13</v>
      </c>
    </row>
    <row r="332" spans="5:11" ht="46.5" x14ac:dyDescent="0.35">
      <c r="E332" s="3">
        <v>330</v>
      </c>
      <c r="F332" s="3" t="s">
        <v>365</v>
      </c>
      <c r="G332" s="3" t="s">
        <v>650</v>
      </c>
      <c r="H332" s="3" t="s">
        <v>730</v>
      </c>
      <c r="I332" s="10" t="s">
        <v>350</v>
      </c>
      <c r="J332" s="5" t="str">
        <f>VLOOKUP(I332,[1]Sayfa1!$A:$C,2,0)</f>
        <v>Hasılat Dağıtım Yönetmeliği</v>
      </c>
      <c r="K332" s="5" t="str">
        <f>VLOOKUP(I332,[1]Sayfa1!$A:$C,3,0)</f>
        <v>md. 7</v>
      </c>
    </row>
    <row r="333" spans="5:11" ht="46.5" x14ac:dyDescent="0.35">
      <c r="E333" s="3">
        <v>331</v>
      </c>
      <c r="F333" s="3" t="s">
        <v>365</v>
      </c>
      <c r="G333" s="3" t="s">
        <v>650</v>
      </c>
      <c r="H333" s="3" t="s">
        <v>730</v>
      </c>
      <c r="I333" s="10" t="s">
        <v>351</v>
      </c>
      <c r="J333" s="5" t="str">
        <f>VLOOKUP(I333,[1]Sayfa1!$A:$C,2,0)</f>
        <v>Hasılat Dağıtım Yönetmeliği</v>
      </c>
      <c r="K333" s="5" t="str">
        <f>VLOOKUP(I333,[1]Sayfa1!$A:$C,3,0)</f>
        <v>md. 8</v>
      </c>
    </row>
    <row r="334" spans="5:11" ht="46.5" x14ac:dyDescent="0.35">
      <c r="E334" s="3">
        <v>332</v>
      </c>
      <c r="F334" s="3" t="s">
        <v>365</v>
      </c>
      <c r="G334" s="3" t="s">
        <v>650</v>
      </c>
      <c r="H334" s="3" t="s">
        <v>656</v>
      </c>
      <c r="I334" s="10" t="s">
        <v>352</v>
      </c>
      <c r="J334" s="5" t="str">
        <f>VLOOKUP(I334,[1]Sayfa1!$A:$C,2,0)</f>
        <v>Hasılat Dağıtım Yön.</v>
      </c>
      <c r="K334" s="5" t="str">
        <f>VLOOKUP(I334,[1]Sayfa1!$A:$C,3,0)</f>
        <v>md. 47 / bakanlık talimatları</v>
      </c>
    </row>
    <row r="335" spans="5:11" ht="46.5" x14ac:dyDescent="0.35">
      <c r="E335" s="3">
        <v>333</v>
      </c>
      <c r="F335" s="3" t="s">
        <v>365</v>
      </c>
      <c r="G335" s="3" t="s">
        <v>650</v>
      </c>
      <c r="H335" s="3" t="s">
        <v>656</v>
      </c>
      <c r="I335" s="5" t="s">
        <v>353</v>
      </c>
      <c r="J335" s="5" t="str">
        <f>VLOOKUP(I335,[1]Sayfa1!$A:$C,2,0)</f>
        <v>Yatırım ve İşletmeler Genel Müd. Sezonluk Ya</v>
      </c>
      <c r="K335" s="5" t="str">
        <f>VLOOKUP(I335,[1]Sayfa1!$A:$C,3,0)</f>
        <v>yazıları</v>
      </c>
    </row>
    <row r="336" spans="5:11" ht="46.5" x14ac:dyDescent="0.35">
      <c r="E336" s="3">
        <v>334</v>
      </c>
      <c r="F336" s="3" t="s">
        <v>365</v>
      </c>
      <c r="G336" s="3" t="s">
        <v>650</v>
      </c>
      <c r="H336" s="3" t="s">
        <v>719</v>
      </c>
      <c r="I336" s="5" t="s">
        <v>354</v>
      </c>
      <c r="J336" s="5" t="str">
        <f>VLOOKUP(I336,[1]Sayfa1!$A:$C,2,0)</f>
        <v>2016/10344 Sayılı BKK / Yan Ödeme Karar</v>
      </c>
      <c r="K336" s="5" t="str">
        <f>VLOOKUP(I336,[1]Sayfa1!$A:$C,3,0)</f>
        <v>kararnamesi</v>
      </c>
    </row>
    <row r="337" spans="5:11" ht="46.5" x14ac:dyDescent="0.35">
      <c r="E337" s="3">
        <v>335</v>
      </c>
      <c r="F337" s="3" t="s">
        <v>365</v>
      </c>
      <c r="G337" s="3" t="s">
        <v>650</v>
      </c>
      <c r="H337" s="3" t="s">
        <v>657</v>
      </c>
      <c r="I337" s="5" t="s">
        <v>355</v>
      </c>
      <c r="J337" s="5" t="str">
        <f>VLOOKUP(I337,[1]Sayfa1!$A:$C,2,0)</f>
        <v>Merkezi Yönetim Harcama Belgeler</v>
      </c>
      <c r="K337" s="5" t="str">
        <f>VLOOKUP(I337,[1]Sayfa1!$A:$C,3,0)</f>
        <v>yön.</v>
      </c>
    </row>
    <row r="338" spans="5:11" ht="46.5" x14ac:dyDescent="0.35">
      <c r="E338" s="3">
        <v>336</v>
      </c>
      <c r="F338" s="3" t="s">
        <v>365</v>
      </c>
      <c r="G338" s="3" t="s">
        <v>650</v>
      </c>
      <c r="H338" s="3" t="s">
        <v>719</v>
      </c>
      <c r="I338" s="10" t="s">
        <v>356</v>
      </c>
      <c r="J338" s="5" t="str">
        <f>VLOOKUP(I338,[1]Sayfa1!$A:$C,2,0)</f>
        <v>Aylıkların Banka Aracılığıyla Ödenmesi T</v>
      </c>
      <c r="K338" s="5" t="str">
        <f>VLOOKUP(I338,[1]Sayfa1!$A:$C,3,0)</f>
        <v>tebliği</v>
      </c>
    </row>
    <row r="339" spans="5:11" ht="46.5" x14ac:dyDescent="0.35">
      <c r="E339" s="3">
        <v>337</v>
      </c>
      <c r="F339" s="3" t="s">
        <v>365</v>
      </c>
      <c r="G339" s="3" t="s">
        <v>650</v>
      </c>
      <c r="H339" s="3" t="s">
        <v>656</v>
      </c>
      <c r="I339" s="5" t="s">
        <v>357</v>
      </c>
      <c r="J339" s="5">
        <f>VLOOKUP(I339,[1]Sayfa1!$A:$C,2,0)</f>
        <v>0</v>
      </c>
      <c r="K339" s="5" t="str">
        <f>VLOOKUP(I339,[1]Sayfa1!$A:$C,3,0)</f>
        <v>yönetmeliği</v>
      </c>
    </row>
    <row r="340" spans="5:11" ht="46.5" x14ac:dyDescent="0.35">
      <c r="E340" s="3">
        <v>338</v>
      </c>
      <c r="F340" s="3" t="s">
        <v>365</v>
      </c>
      <c r="G340" s="3" t="s">
        <v>650</v>
      </c>
      <c r="H340" s="3" t="s">
        <v>656</v>
      </c>
      <c r="I340" s="10" t="s">
        <v>358</v>
      </c>
      <c r="J340" s="5">
        <f>VLOOKUP(I340,[1]Sayfa1!$A:$C,2,0)</f>
        <v>0</v>
      </c>
      <c r="K340" s="5" t="str">
        <f>VLOOKUP(I340,[1]Sayfa1!$A:$C,3,0)</f>
        <v>yönetmeliği</v>
      </c>
    </row>
    <row r="341" spans="5:11" ht="46.5" x14ac:dyDescent="0.35">
      <c r="E341" s="3">
        <v>339</v>
      </c>
      <c r="F341" s="3" t="s">
        <v>365</v>
      </c>
      <c r="G341" s="3" t="s">
        <v>650</v>
      </c>
      <c r="H341" s="3" t="s">
        <v>657</v>
      </c>
      <c r="I341" s="10" t="s">
        <v>359</v>
      </c>
      <c r="J341" s="5" t="str">
        <f>VLOOKUP(I341,[1]Sayfa1!$A:$C,2,0)</f>
        <v>657 Sayılı DMK M</v>
      </c>
      <c r="K341" s="5" t="str">
        <f>VLOOKUP(I341,[1]Sayfa1!$A:$C,3,0)</f>
        <v>md. 208</v>
      </c>
    </row>
    <row r="342" spans="5:11" ht="46.5" x14ac:dyDescent="0.35">
      <c r="E342" s="3">
        <v>340</v>
      </c>
      <c r="F342" s="3" t="s">
        <v>365</v>
      </c>
      <c r="G342" s="3" t="s">
        <v>650</v>
      </c>
      <c r="H342" s="3" t="s">
        <v>657</v>
      </c>
      <c r="I342" s="10" t="s">
        <v>360</v>
      </c>
      <c r="J342" s="5" t="str">
        <f>VLOOKUP(I342,[1]Sayfa1!$A:$C,2,0)</f>
        <v xml:space="preserve">Gelir Vergisi Kanunu </v>
      </c>
      <c r="K342" s="5" t="str">
        <f>VLOOKUP(I342,[1]Sayfa1!$A:$C,3,0)</f>
        <v>md. 25</v>
      </c>
    </row>
    <row r="343" spans="5:11" ht="46.5" x14ac:dyDescent="0.35">
      <c r="E343" s="3">
        <v>341</v>
      </c>
      <c r="F343" s="3" t="s">
        <v>365</v>
      </c>
      <c r="G343" s="3" t="s">
        <v>650</v>
      </c>
      <c r="H343" s="3" t="s">
        <v>657</v>
      </c>
      <c r="I343" s="5" t="s">
        <v>361</v>
      </c>
      <c r="J343" s="5" t="str">
        <f>VLOOKUP(I343,[1]Sayfa1!$A:$C,2,0)</f>
        <v>6772 Sayılı Kanun</v>
      </c>
      <c r="K343" s="5" t="str">
        <f>VLOOKUP(I343,[1]Sayfa1!$A:$C,3,0)</f>
        <v>md. 4</v>
      </c>
    </row>
    <row r="344" spans="5:11" ht="46.5" x14ac:dyDescent="0.35">
      <c r="E344" s="3">
        <v>342</v>
      </c>
      <c r="F344" s="3" t="s">
        <v>365</v>
      </c>
      <c r="G344" s="3" t="s">
        <v>650</v>
      </c>
      <c r="H344" s="3" t="s">
        <v>727</v>
      </c>
      <c r="I344" s="5" t="s">
        <v>362</v>
      </c>
      <c r="J344" s="5" t="str">
        <f>VLOOKUP(I344,[1]Sayfa1!$A:$C,2,0)</f>
        <v>Devlet Arşiv Hizmetleri Yön.</v>
      </c>
      <c r="K344" s="5" t="str">
        <f>VLOOKUP(I344,[1]Sayfa1!$A:$C,3,0)</f>
        <v>md. 5</v>
      </c>
    </row>
    <row r="345" spans="5:11" ht="46.5" x14ac:dyDescent="0.35">
      <c r="E345" s="3">
        <v>343</v>
      </c>
      <c r="F345" s="3" t="s">
        <v>365</v>
      </c>
      <c r="G345" s="3" t="s">
        <v>650</v>
      </c>
      <c r="H345" s="3" t="s">
        <v>719</v>
      </c>
      <c r="I345" s="10" t="s">
        <v>363</v>
      </c>
      <c r="J345" s="5" t="str">
        <f>VLOOKUP(I345,[1]Sayfa1!$A:$C,2,0)</f>
        <v>657 Sayılı DMK M</v>
      </c>
      <c r="K345" s="5" t="str">
        <f>VLOOKUP(I345,[1]Sayfa1!$A:$C,3,0)</f>
        <v>md. 152</v>
      </c>
    </row>
    <row r="346" spans="5:11" ht="46.5" x14ac:dyDescent="0.35">
      <c r="E346" s="3">
        <v>344</v>
      </c>
      <c r="F346" s="3" t="s">
        <v>365</v>
      </c>
      <c r="G346" s="3" t="s">
        <v>650</v>
      </c>
      <c r="H346" s="3" t="s">
        <v>719</v>
      </c>
      <c r="I346" s="10" t="s">
        <v>364</v>
      </c>
      <c r="J346" s="5" t="str">
        <f>VLOOKUP(I346,[1]Sayfa1!$A:$C,2,0)</f>
        <v>657 Sayılı DMK M</v>
      </c>
      <c r="K346" s="5" t="str">
        <f>VLOOKUP(I346,[1]Sayfa1!$A:$C,3,0)</f>
        <v>md. 152</v>
      </c>
    </row>
    <row r="347" spans="5:11" ht="43.5" x14ac:dyDescent="0.35">
      <c r="E347" s="3">
        <v>345</v>
      </c>
      <c r="F347" s="3" t="s">
        <v>407</v>
      </c>
      <c r="G347" s="3" t="s">
        <v>650</v>
      </c>
      <c r="H347" s="3" t="s">
        <v>712</v>
      </c>
      <c r="I347" s="6" t="s">
        <v>366</v>
      </c>
      <c r="J347" s="5" t="str">
        <f>VLOOKUP(I347,[1]Sayfa1!$A:$C,2,0)</f>
        <v>4734 Sayılı Kanun Md</v>
      </c>
      <c r="K347" s="5" t="str">
        <f>VLOOKUP(I347,[1]Sayfa1!$A:$C,3,0)</f>
        <v>md. 9-22</v>
      </c>
    </row>
    <row r="348" spans="5:11" ht="43.5" x14ac:dyDescent="0.35">
      <c r="E348" s="3">
        <v>346</v>
      </c>
      <c r="F348" s="3" t="s">
        <v>407</v>
      </c>
      <c r="G348" s="3" t="s">
        <v>650</v>
      </c>
      <c r="H348" s="3" t="s">
        <v>712</v>
      </c>
      <c r="I348" s="12" t="s">
        <v>367</v>
      </c>
      <c r="J348" s="5" t="str">
        <f>VLOOKUP(I348,[1]Sayfa1!$A:$C,2,0)</f>
        <v>4734 Sayılı Kanun / Kamu İhale Genel T</v>
      </c>
      <c r="K348" s="5" t="str">
        <f>VLOOKUP(I348,[1]Sayfa1!$A:$C,3,0)</f>
        <v>tebliği</v>
      </c>
    </row>
    <row r="349" spans="5:11" ht="43.5" x14ac:dyDescent="0.35">
      <c r="E349" s="3">
        <v>347</v>
      </c>
      <c r="F349" s="3" t="s">
        <v>407</v>
      </c>
      <c r="G349" s="3" t="s">
        <v>650</v>
      </c>
      <c r="H349" s="3" t="s">
        <v>712</v>
      </c>
      <c r="I349" s="6" t="s">
        <v>368</v>
      </c>
      <c r="J349" s="5" t="str">
        <f>VLOOKUP(I349,[1]Sayfa1!$A:$C,2,0)</f>
        <v xml:space="preserve">Kamu İhale Genel Tebliği </v>
      </c>
      <c r="K349" s="5" t="str">
        <f>VLOOKUP(I349,[1]Sayfa1!$A:$C,3,0)</f>
        <v>md. 22</v>
      </c>
    </row>
    <row r="350" spans="5:11" ht="43.5" x14ac:dyDescent="0.35">
      <c r="E350" s="3">
        <v>348</v>
      </c>
      <c r="F350" s="3" t="s">
        <v>407</v>
      </c>
      <c r="G350" s="3" t="s">
        <v>650</v>
      </c>
      <c r="H350" s="3" t="s">
        <v>712</v>
      </c>
      <c r="I350" s="12" t="s">
        <v>369</v>
      </c>
      <c r="J350" s="5" t="str">
        <f>VLOOKUP(I350,[1]Sayfa1!$A:$C,2,0)</f>
        <v>Kamu İhale Genel Tebliği Md. 22.</v>
      </c>
      <c r="K350" s="5" t="str">
        <f>VLOOKUP(I350,[1]Sayfa1!$A:$C,3,0)</f>
        <v>md. 22.5.1</v>
      </c>
    </row>
    <row r="351" spans="5:11" ht="43.5" x14ac:dyDescent="0.35">
      <c r="E351" s="3">
        <v>349</v>
      </c>
      <c r="F351" s="3" t="s">
        <v>407</v>
      </c>
      <c r="G351" s="3" t="s">
        <v>650</v>
      </c>
      <c r="H351" s="3" t="s">
        <v>731</v>
      </c>
      <c r="I351" s="12" t="s">
        <v>370</v>
      </c>
      <c r="J351" s="5" t="str">
        <f>VLOOKUP(I351,[1]Sayfa1!$A:$C,2,0)</f>
        <v xml:space="preserve">4734 Sayılı Kanun </v>
      </c>
      <c r="K351" s="5" t="str">
        <f>VLOOKUP(I351,[1]Sayfa1!$A:$C,3,0)</f>
        <v>md. 12</v>
      </c>
    </row>
    <row r="352" spans="5:11" ht="43.5" x14ac:dyDescent="0.35">
      <c r="E352" s="3">
        <v>350</v>
      </c>
      <c r="F352" s="3" t="s">
        <v>407</v>
      </c>
      <c r="G352" s="3" t="s">
        <v>650</v>
      </c>
      <c r="H352" s="3" t="s">
        <v>732</v>
      </c>
      <c r="I352" s="12" t="s">
        <v>371</v>
      </c>
      <c r="J352" s="5">
        <f>VLOOKUP(I352,[1]Sayfa1!$A:$C,2,0)</f>
        <v>0</v>
      </c>
      <c r="K352" s="5" t="str">
        <f>VLOOKUP(I352,[1]Sayfa1!$A:$C,3,0)</f>
        <v>esasları</v>
      </c>
    </row>
    <row r="353" spans="5:11" ht="43.5" x14ac:dyDescent="0.35">
      <c r="E353" s="3">
        <v>351</v>
      </c>
      <c r="F353" s="3" t="s">
        <v>407</v>
      </c>
      <c r="G353" s="3" t="s">
        <v>650</v>
      </c>
      <c r="H353" s="3" t="s">
        <v>733</v>
      </c>
      <c r="I353" s="12" t="s">
        <v>372</v>
      </c>
      <c r="J353" s="5" t="str">
        <f>VLOOKUP(I353,[1]Sayfa1!$A:$C,2,0)</f>
        <v>4734 Sayılı Kanun Md</v>
      </c>
      <c r="K353" s="5" t="str">
        <f>VLOOKUP(I353,[1]Sayfa1!$A:$C,3,0)</f>
        <v>md. 62/ı</v>
      </c>
    </row>
    <row r="354" spans="5:11" ht="43.5" x14ac:dyDescent="0.35">
      <c r="E354" s="3">
        <v>352</v>
      </c>
      <c r="F354" s="3" t="s">
        <v>407</v>
      </c>
      <c r="G354" s="3" t="s">
        <v>650</v>
      </c>
      <c r="H354" s="3" t="s">
        <v>733</v>
      </c>
      <c r="I354" s="6" t="s">
        <v>373</v>
      </c>
      <c r="J354" s="5" t="str">
        <f>VLOOKUP(I354,[1]Sayfa1!$A:$C,2,0)</f>
        <v>Kamu İhale Genel Tebliği Md. 22.</v>
      </c>
      <c r="K354" s="5" t="str">
        <f>VLOOKUP(I354,[1]Sayfa1!$A:$C,3,0)</f>
        <v>md. 22.5.1</v>
      </c>
    </row>
    <row r="355" spans="5:11" ht="43.5" x14ac:dyDescent="0.35">
      <c r="E355" s="3">
        <v>353</v>
      </c>
      <c r="F355" s="3" t="s">
        <v>407</v>
      </c>
      <c r="G355" s="3" t="s">
        <v>650</v>
      </c>
      <c r="H355" s="3" t="s">
        <v>734</v>
      </c>
      <c r="I355" s="12" t="s">
        <v>374</v>
      </c>
      <c r="J355" s="5" t="str">
        <f>VLOOKUP(I355,[1]Sayfa1!$A:$C,2,0)</f>
        <v xml:space="preserve">Kamu İhale Genel Tebliği </v>
      </c>
      <c r="K355" s="5" t="str">
        <f>VLOOKUP(I355,[1]Sayfa1!$A:$C,3,0)</f>
        <v>md. 18</v>
      </c>
    </row>
    <row r="356" spans="5:11" ht="43.5" x14ac:dyDescent="0.35">
      <c r="E356" s="3">
        <v>354</v>
      </c>
      <c r="F356" s="3" t="s">
        <v>407</v>
      </c>
      <c r="G356" s="3" t="s">
        <v>650</v>
      </c>
      <c r="H356" s="3" t="s">
        <v>734</v>
      </c>
      <c r="I356" s="12" t="s">
        <v>375</v>
      </c>
      <c r="J356" s="5" t="str">
        <f>VLOOKUP(I356,[1]Sayfa1!$A:$C,2,0)</f>
        <v>Teminat Mektupları Teyit İşlemleri</v>
      </c>
      <c r="K356" s="5" t="str">
        <f>VLOOKUP(I356,[1]Sayfa1!$A:$C,3,0)</f>
        <v>md. 8</v>
      </c>
    </row>
    <row r="357" spans="5:11" ht="43.5" x14ac:dyDescent="0.35">
      <c r="E357" s="3">
        <v>355</v>
      </c>
      <c r="F357" s="3" t="s">
        <v>407</v>
      </c>
      <c r="G357" s="3" t="s">
        <v>650</v>
      </c>
      <c r="H357" s="3" t="s">
        <v>712</v>
      </c>
      <c r="I357" s="6" t="s">
        <v>376</v>
      </c>
      <c r="J357" s="5" t="str">
        <f>VLOOKUP(I357,[1]Sayfa1!$A:$C,2,0)</f>
        <v>4734 Sayılı Kanun</v>
      </c>
      <c r="K357" s="5" t="str">
        <f>VLOOKUP(I357,[1]Sayfa1!$A:$C,3,0)</f>
        <v>md. 5</v>
      </c>
    </row>
    <row r="358" spans="5:11" ht="43.5" x14ac:dyDescent="0.35">
      <c r="E358" s="3">
        <v>356</v>
      </c>
      <c r="F358" s="3" t="s">
        <v>407</v>
      </c>
      <c r="G358" s="3" t="s">
        <v>650</v>
      </c>
      <c r="H358" s="3" t="s">
        <v>735</v>
      </c>
      <c r="I358" s="12" t="s">
        <v>377</v>
      </c>
      <c r="J358" s="5">
        <f>VLOOKUP(I358,[1]Sayfa1!$A:$C,2,0)</f>
        <v>0</v>
      </c>
      <c r="K358" s="5" t="str">
        <f>VLOOKUP(I358,[1]Sayfa1!$A:$C,3,0)</f>
        <v>yönetmelikleri</v>
      </c>
    </row>
    <row r="359" spans="5:11" ht="43.5" x14ac:dyDescent="0.35">
      <c r="E359" s="3">
        <v>357</v>
      </c>
      <c r="F359" s="3" t="s">
        <v>407</v>
      </c>
      <c r="G359" s="3" t="s">
        <v>650</v>
      </c>
      <c r="H359" s="3" t="s">
        <v>735</v>
      </c>
      <c r="I359" s="6" t="s">
        <v>378</v>
      </c>
      <c r="J359" s="5">
        <f>VLOOKUP(I359,[1]Sayfa1!$A:$C,2,0)</f>
        <v>0</v>
      </c>
      <c r="K359" s="5" t="str">
        <f>VLOOKUP(I359,[1]Sayfa1!$A:$C,3,0)</f>
        <v>yönetmelikleri</v>
      </c>
    </row>
    <row r="360" spans="5:11" ht="43.5" x14ac:dyDescent="0.35">
      <c r="E360" s="3">
        <v>358</v>
      </c>
      <c r="F360" s="3" t="s">
        <v>407</v>
      </c>
      <c r="G360" s="3" t="s">
        <v>650</v>
      </c>
      <c r="H360" s="3" t="s">
        <v>712</v>
      </c>
      <c r="I360" s="12" t="s">
        <v>379</v>
      </c>
      <c r="J360" s="5" t="str">
        <f>VLOOKUP(I360,[1]Sayfa1!$A:$C,2,0)</f>
        <v>6183 S.K. Md.</v>
      </c>
      <c r="K360" s="5" t="str">
        <f>VLOOKUP(I360,[1]Sayfa1!$A:$C,3,0)</f>
        <v>22/a / tahsilat gn. tebliğ</v>
      </c>
    </row>
    <row r="361" spans="5:11" ht="43.5" x14ac:dyDescent="0.35">
      <c r="E361" s="3">
        <v>359</v>
      </c>
      <c r="F361" s="3" t="s">
        <v>407</v>
      </c>
      <c r="G361" s="3" t="s">
        <v>650</v>
      </c>
      <c r="H361" s="3" t="s">
        <v>712</v>
      </c>
      <c r="I361" s="12" t="s">
        <v>380</v>
      </c>
      <c r="J361" s="5" t="str">
        <f>VLOOKUP(I361,[1]Sayfa1!$A:$C,2,0)</f>
        <v>4734 Sayılı Kanun Md. 5 / Tebliğ 22.5.</v>
      </c>
      <c r="K361" s="5" t="str">
        <f>VLOOKUP(I361,[1]Sayfa1!$A:$C,3,0)</f>
        <v>tebliğ 22.5.1.2</v>
      </c>
    </row>
    <row r="362" spans="5:11" ht="43.5" x14ac:dyDescent="0.35">
      <c r="E362" s="3">
        <v>360</v>
      </c>
      <c r="F362" s="3" t="s">
        <v>407</v>
      </c>
      <c r="G362" s="3" t="s">
        <v>650</v>
      </c>
      <c r="H362" s="3" t="s">
        <v>736</v>
      </c>
      <c r="I362" s="12" t="s">
        <v>381</v>
      </c>
      <c r="J362" s="5" t="str">
        <f>VLOOKUP(I362,[1]Sayfa1!$A:$C,2,0)</f>
        <v>Taşınır Mal Yönetmeliği Md</v>
      </c>
      <c r="K362" s="5" t="str">
        <f>VLOOKUP(I362,[1]Sayfa1!$A:$C,3,0)</f>
        <v>md. 10/ç</v>
      </c>
    </row>
    <row r="363" spans="5:11" ht="43.5" x14ac:dyDescent="0.35">
      <c r="E363" s="3">
        <v>361</v>
      </c>
      <c r="F363" s="3" t="s">
        <v>407</v>
      </c>
      <c r="G363" s="3" t="s">
        <v>650</v>
      </c>
      <c r="H363" s="3" t="s">
        <v>736</v>
      </c>
      <c r="I363" s="12" t="s">
        <v>382</v>
      </c>
      <c r="J363" s="5" t="str">
        <f>VLOOKUP(I363,[1]Sayfa1!$A:$C,2,0)</f>
        <v xml:space="preserve">Taşınır Mal Yönetmeliği Md. 10/f </v>
      </c>
      <c r="K363" s="5" t="str">
        <f>VLOOKUP(I363,[1]Sayfa1!$A:$C,3,0)</f>
        <v>md. 10/f - 33/1</v>
      </c>
    </row>
    <row r="364" spans="5:11" ht="43.5" x14ac:dyDescent="0.35">
      <c r="E364" s="3">
        <v>362</v>
      </c>
      <c r="F364" s="3" t="s">
        <v>407</v>
      </c>
      <c r="G364" s="3" t="s">
        <v>650</v>
      </c>
      <c r="H364" s="3" t="s">
        <v>736</v>
      </c>
      <c r="I364" s="6" t="s">
        <v>383</v>
      </c>
      <c r="J364" s="5" t="str">
        <f>VLOOKUP(I364,[1]Sayfa1!$A:$C,2,0)</f>
        <v>Taşınır Mal Yönetmeliği Md</v>
      </c>
      <c r="K364" s="5" t="str">
        <f>VLOOKUP(I364,[1]Sayfa1!$A:$C,3,0)</f>
        <v>md. 10/f</v>
      </c>
    </row>
    <row r="365" spans="5:11" ht="43.5" x14ac:dyDescent="0.35">
      <c r="E365" s="3">
        <v>363</v>
      </c>
      <c r="F365" s="3" t="s">
        <v>407</v>
      </c>
      <c r="G365" s="3" t="s">
        <v>650</v>
      </c>
      <c r="H365" s="3" t="s">
        <v>736</v>
      </c>
      <c r="I365" s="6" t="s">
        <v>384</v>
      </c>
      <c r="J365" s="5" t="str">
        <f>VLOOKUP(I365,[1]Sayfa1!$A:$C,2,0)</f>
        <v xml:space="preserve">Taşınır Mal Yönetmeliği </v>
      </c>
      <c r="K365" s="5" t="str">
        <f>VLOOKUP(I365,[1]Sayfa1!$A:$C,3,0)</f>
        <v>md. 36</v>
      </c>
    </row>
    <row r="366" spans="5:11" ht="43.5" x14ac:dyDescent="0.35">
      <c r="E366" s="3">
        <v>364</v>
      </c>
      <c r="F366" s="3" t="s">
        <v>407</v>
      </c>
      <c r="G366" s="3" t="s">
        <v>650</v>
      </c>
      <c r="H366" s="3" t="s">
        <v>736</v>
      </c>
      <c r="I366" s="12" t="s">
        <v>385</v>
      </c>
      <c r="J366" s="5" t="str">
        <f>VLOOKUP(I366,[1]Sayfa1!$A:$C,2,0)</f>
        <v>Taşınır Mal Yönetmeliği Md.</v>
      </c>
      <c r="K366" s="5" t="str">
        <f>VLOOKUP(I366,[1]Sayfa1!$A:$C,3,0)</f>
        <v>md. 12-13</v>
      </c>
    </row>
    <row r="367" spans="5:11" ht="43.5" x14ac:dyDescent="0.35">
      <c r="E367" s="3">
        <v>365</v>
      </c>
      <c r="F367" s="3" t="s">
        <v>407</v>
      </c>
      <c r="G367" s="3" t="s">
        <v>650</v>
      </c>
      <c r="H367" s="3" t="s">
        <v>736</v>
      </c>
      <c r="I367" s="6" t="s">
        <v>386</v>
      </c>
      <c r="J367" s="5" t="str">
        <f>VLOOKUP(I367,[1]Sayfa1!$A:$C,2,0)</f>
        <v xml:space="preserve">Taşınır Mal Yönetmeliği </v>
      </c>
      <c r="K367" s="5" t="str">
        <f>VLOOKUP(I367,[1]Sayfa1!$A:$C,3,0)</f>
        <v>md. 13</v>
      </c>
    </row>
    <row r="368" spans="5:11" ht="43.5" x14ac:dyDescent="0.35">
      <c r="E368" s="3">
        <v>366</v>
      </c>
      <c r="F368" s="3" t="s">
        <v>407</v>
      </c>
      <c r="G368" s="3" t="s">
        <v>650</v>
      </c>
      <c r="H368" s="3" t="s">
        <v>736</v>
      </c>
      <c r="I368" s="12" t="s">
        <v>387</v>
      </c>
      <c r="J368" s="5" t="str">
        <f>VLOOKUP(I368,[1]Sayfa1!$A:$C,2,0)</f>
        <v xml:space="preserve">Taşınır Mal Yönetmeliği </v>
      </c>
      <c r="K368" s="5" t="str">
        <f>VLOOKUP(I368,[1]Sayfa1!$A:$C,3,0)</f>
        <v>md. 15</v>
      </c>
    </row>
    <row r="369" spans="5:11" ht="43.5" x14ac:dyDescent="0.35">
      <c r="E369" s="3">
        <v>367</v>
      </c>
      <c r="F369" s="3" t="s">
        <v>407</v>
      </c>
      <c r="G369" s="3" t="s">
        <v>650</v>
      </c>
      <c r="H369" s="3" t="s">
        <v>736</v>
      </c>
      <c r="I369" s="6" t="s">
        <v>388</v>
      </c>
      <c r="J369" s="5" t="str">
        <f>VLOOKUP(I369,[1]Sayfa1!$A:$C,2,0)</f>
        <v>Taşınır Mal Yönetmeliği Md</v>
      </c>
      <c r="K369" s="5" t="str">
        <f>VLOOKUP(I369,[1]Sayfa1!$A:$C,3,0)</f>
        <v>md. 10/a</v>
      </c>
    </row>
    <row r="370" spans="5:11" ht="43.5" x14ac:dyDescent="0.35">
      <c r="E370" s="3">
        <v>368</v>
      </c>
      <c r="F370" s="3" t="s">
        <v>407</v>
      </c>
      <c r="G370" s="3" t="s">
        <v>650</v>
      </c>
      <c r="H370" s="3" t="s">
        <v>660</v>
      </c>
      <c r="I370" s="6" t="s">
        <v>389</v>
      </c>
      <c r="J370" s="5" t="str">
        <f>VLOOKUP(I370,[1]Sayfa1!$A:$C,2,0)</f>
        <v>Taşınır Mal Yönetmeliği Md</v>
      </c>
      <c r="K370" s="5" t="str">
        <f>VLOOKUP(I370,[1]Sayfa1!$A:$C,3,0)</f>
        <v>md. 30/2</v>
      </c>
    </row>
    <row r="371" spans="5:11" ht="43.5" x14ac:dyDescent="0.35">
      <c r="E371" s="3">
        <v>369</v>
      </c>
      <c r="F371" s="3" t="s">
        <v>407</v>
      </c>
      <c r="G371" s="3" t="s">
        <v>650</v>
      </c>
      <c r="H371" s="3" t="s">
        <v>660</v>
      </c>
      <c r="I371" s="12" t="s">
        <v>390</v>
      </c>
      <c r="J371" s="5" t="str">
        <f>VLOOKUP(I371,[1]Sayfa1!$A:$C,2,0)</f>
        <v xml:space="preserve">Taşınır Mal Yönetmeliği </v>
      </c>
      <c r="K371" s="5" t="str">
        <f>VLOOKUP(I371,[1]Sayfa1!$A:$C,3,0)</f>
        <v>md. 30</v>
      </c>
    </row>
    <row r="372" spans="5:11" ht="43.5" x14ac:dyDescent="0.35">
      <c r="E372" s="3">
        <v>370</v>
      </c>
      <c r="F372" s="3" t="s">
        <v>407</v>
      </c>
      <c r="G372" s="3" t="s">
        <v>650</v>
      </c>
      <c r="H372" s="3" t="s">
        <v>737</v>
      </c>
      <c r="I372" s="12" t="s">
        <v>391</v>
      </c>
      <c r="J372" s="5" t="str">
        <f>VLOOKUP(I372,[1]Sayfa1!$A:$C,2,0)</f>
        <v xml:space="preserve">Taşınır Mal Yönetmeliği </v>
      </c>
      <c r="K372" s="5" t="str">
        <f>VLOOKUP(I372,[1]Sayfa1!$A:$C,3,0)</f>
        <v>md. 28</v>
      </c>
    </row>
    <row r="373" spans="5:11" ht="43.5" x14ac:dyDescent="0.35">
      <c r="E373" s="3">
        <v>371</v>
      </c>
      <c r="F373" s="3" t="s">
        <v>407</v>
      </c>
      <c r="G373" s="3" t="s">
        <v>650</v>
      </c>
      <c r="H373" s="3" t="s">
        <v>738</v>
      </c>
      <c r="I373" s="12" t="s">
        <v>392</v>
      </c>
      <c r="J373" s="5" t="str">
        <f>VLOOKUP(I373,[1]Sayfa1!$A:$C,2,0)</f>
        <v xml:space="preserve">Taşınır Mal Yönetmeliği </v>
      </c>
      <c r="K373" s="5" t="str">
        <f>VLOOKUP(I373,[1]Sayfa1!$A:$C,3,0)</f>
        <v>md. 28</v>
      </c>
    </row>
    <row r="374" spans="5:11" ht="43.5" x14ac:dyDescent="0.35">
      <c r="E374" s="3">
        <v>372</v>
      </c>
      <c r="F374" s="3" t="s">
        <v>407</v>
      </c>
      <c r="G374" s="3" t="s">
        <v>650</v>
      </c>
      <c r="H374" s="3" t="s">
        <v>736</v>
      </c>
      <c r="I374" s="6" t="s">
        <v>393</v>
      </c>
      <c r="J374" s="5" t="str">
        <f>VLOOKUP(I374,[1]Sayfa1!$A:$C,2,0)</f>
        <v xml:space="preserve">Taşınır Mal Yönetmeliği </v>
      </c>
      <c r="K374" s="5" t="str">
        <f>VLOOKUP(I374,[1]Sayfa1!$A:$C,3,0)</f>
        <v>md. 16</v>
      </c>
    </row>
    <row r="375" spans="5:11" ht="43.5" x14ac:dyDescent="0.35">
      <c r="E375" s="3">
        <v>373</v>
      </c>
      <c r="F375" s="3" t="s">
        <v>407</v>
      </c>
      <c r="G375" s="3" t="s">
        <v>650</v>
      </c>
      <c r="H375" s="3" t="s">
        <v>736</v>
      </c>
      <c r="I375" s="6" t="s">
        <v>394</v>
      </c>
      <c r="J375" s="5" t="str">
        <f>VLOOKUP(I375,[1]Sayfa1!$A:$C,2,0)</f>
        <v>Taşınır Mal Yönetmeliği Md</v>
      </c>
      <c r="K375" s="5" t="str">
        <f>VLOOKUP(I375,[1]Sayfa1!$A:$C,3,0)</f>
        <v>md. 23/1</v>
      </c>
    </row>
    <row r="376" spans="5:11" ht="43.5" x14ac:dyDescent="0.35">
      <c r="E376" s="3">
        <v>374</v>
      </c>
      <c r="F376" s="3" t="s">
        <v>407</v>
      </c>
      <c r="G376" s="3" t="s">
        <v>650</v>
      </c>
      <c r="H376" s="3" t="s">
        <v>736</v>
      </c>
      <c r="I376" s="12" t="s">
        <v>395</v>
      </c>
      <c r="J376" s="5" t="str">
        <f>VLOOKUP(I376,[1]Sayfa1!$A:$C,2,0)</f>
        <v xml:space="preserve">Taşınır Mal Yönetmeliği </v>
      </c>
      <c r="K376" s="5" t="str">
        <f>VLOOKUP(I376,[1]Sayfa1!$A:$C,3,0)</f>
        <v>md. 32</v>
      </c>
    </row>
    <row r="377" spans="5:11" ht="43.5" x14ac:dyDescent="0.35">
      <c r="E377" s="3">
        <v>375</v>
      </c>
      <c r="F377" s="3" t="s">
        <v>407</v>
      </c>
      <c r="G377" s="3" t="s">
        <v>650</v>
      </c>
      <c r="H377" s="3" t="s">
        <v>739</v>
      </c>
      <c r="I377" s="12" t="s">
        <v>396</v>
      </c>
      <c r="J377" s="5" t="str">
        <f>VLOOKUP(I377,[1]Sayfa1!$A:$C,2,0)</f>
        <v>Yiyecek Yardımı Yönetmeliği M</v>
      </c>
      <c r="K377" s="5" t="str">
        <f>VLOOKUP(I377,[1]Sayfa1!$A:$C,3,0)</f>
        <v>md. 4-5</v>
      </c>
    </row>
    <row r="378" spans="5:11" ht="43.5" x14ac:dyDescent="0.35">
      <c r="E378" s="3">
        <v>376</v>
      </c>
      <c r="F378" s="3" t="s">
        <v>407</v>
      </c>
      <c r="G378" s="3" t="s">
        <v>650</v>
      </c>
      <c r="H378" s="3" t="s">
        <v>712</v>
      </c>
      <c r="I378" s="6" t="s">
        <v>397</v>
      </c>
      <c r="J378" s="5" t="str">
        <f>VLOOKUP(I378,[1]Sayfa1!$A:$C,2,0)</f>
        <v>4734 Sayılı Kanun M</v>
      </c>
      <c r="K378" s="5" t="str">
        <f>VLOOKUP(I378,[1]Sayfa1!$A:$C,3,0)</f>
        <v>md. 3/e</v>
      </c>
    </row>
    <row r="379" spans="5:11" ht="43.5" x14ac:dyDescent="0.35">
      <c r="E379" s="3">
        <v>377</v>
      </c>
      <c r="F379" s="3" t="s">
        <v>407</v>
      </c>
      <c r="G379" s="3" t="s">
        <v>650</v>
      </c>
      <c r="H379" s="3" t="s">
        <v>740</v>
      </c>
      <c r="I379" s="12" t="s">
        <v>398</v>
      </c>
      <c r="J379" s="5" t="str">
        <f>VLOOKUP(I379,[1]Sayfa1!$A:$C,2,0)</f>
        <v>KYK Akaryakıt ve Yakıt Teslim Alma Ta</v>
      </c>
      <c r="K379" s="5" t="str">
        <f>VLOOKUP(I379,[1]Sayfa1!$A:$C,3,0)</f>
        <v>talimatı</v>
      </c>
    </row>
    <row r="380" spans="5:11" ht="43.5" x14ac:dyDescent="0.35">
      <c r="E380" s="3">
        <v>378</v>
      </c>
      <c r="F380" s="3" t="s">
        <v>407</v>
      </c>
      <c r="G380" s="3" t="s">
        <v>650</v>
      </c>
      <c r="H380" s="3" t="s">
        <v>655</v>
      </c>
      <c r="I380" s="12" t="s">
        <v>399</v>
      </c>
      <c r="J380" s="5" t="str">
        <f>VLOOKUP(I380,[1]Sayfa1!$A:$C,2,0)</f>
        <v>Hizmet Alımı Suretiyle Taşıt Edinilmesine İlişkin Esas ve U</v>
      </c>
      <c r="K380" s="5" t="str">
        <f>VLOOKUP(I380,[1]Sayfa1!$A:$C,3,0)</f>
        <v>usuller</v>
      </c>
    </row>
    <row r="381" spans="5:11" ht="43.5" x14ac:dyDescent="0.35">
      <c r="E381" s="3">
        <v>379</v>
      </c>
      <c r="F381" s="3" t="s">
        <v>407</v>
      </c>
      <c r="G381" s="3" t="s">
        <v>650</v>
      </c>
      <c r="H381" s="3" t="s">
        <v>655</v>
      </c>
      <c r="I381" s="12" t="s">
        <v>400</v>
      </c>
      <c r="J381" s="5" t="str">
        <f>VLOOKUP(I381,[1]Sayfa1!$A:$C,2,0)</f>
        <v>2006/10193 Sayılı BKK M</v>
      </c>
      <c r="K381" s="5" t="str">
        <f>VLOOKUP(I381,[1]Sayfa1!$A:$C,3,0)</f>
        <v>md. 7/b</v>
      </c>
    </row>
    <row r="382" spans="5:11" ht="43.5" x14ac:dyDescent="0.35">
      <c r="E382" s="3">
        <v>380</v>
      </c>
      <c r="F382" s="3" t="s">
        <v>407</v>
      </c>
      <c r="G382" s="3" t="s">
        <v>650</v>
      </c>
      <c r="H382" s="3" t="s">
        <v>655</v>
      </c>
      <c r="I382" s="6" t="s">
        <v>401</v>
      </c>
      <c r="J382" s="5" t="str">
        <f>VLOOKUP(I382,[1]Sayfa1!$A:$C,2,0)</f>
        <v>Kamu Kurumları Personel Servis Yön.</v>
      </c>
      <c r="K382" s="5" t="str">
        <f>VLOOKUP(I382,[1]Sayfa1!$A:$C,3,0)</f>
        <v>md. 5-6</v>
      </c>
    </row>
    <row r="383" spans="5:11" ht="43.5" x14ac:dyDescent="0.35">
      <c r="E383" s="3">
        <v>381</v>
      </c>
      <c r="F383" s="3" t="s">
        <v>407</v>
      </c>
      <c r="G383" s="3" t="s">
        <v>650</v>
      </c>
      <c r="H383" s="3" t="s">
        <v>655</v>
      </c>
      <c r="I383" s="12" t="s">
        <v>402</v>
      </c>
      <c r="J383" s="5" t="str">
        <f>VLOOKUP(I383,[1]Sayfa1!$A:$C,2,0)</f>
        <v>Taşıt Kanunu / İç Kontrol Standa</v>
      </c>
      <c r="K383" s="5" t="str">
        <f>VLOOKUP(I383,[1]Sayfa1!$A:$C,3,0)</f>
        <v>standartları</v>
      </c>
    </row>
    <row r="384" spans="5:11" ht="43.5" x14ac:dyDescent="0.35">
      <c r="E384" s="3">
        <v>382</v>
      </c>
      <c r="F384" s="3" t="s">
        <v>407</v>
      </c>
      <c r="G384" s="3" t="s">
        <v>650</v>
      </c>
      <c r="H384" s="3" t="s">
        <v>668</v>
      </c>
      <c r="I384" s="6" t="s">
        <v>403</v>
      </c>
      <c r="J384" s="5" t="str">
        <f>VLOOKUP(I384,[1]Sayfa1!$A:$C,2,0)</f>
        <v>Yüzme Havuzları Sağlık Esasları Yön.</v>
      </c>
      <c r="K384" s="5" t="str">
        <f>VLOOKUP(I384,[1]Sayfa1!$A:$C,3,0)</f>
        <v>md. 8/g</v>
      </c>
    </row>
    <row r="385" spans="5:11" ht="43.5" x14ac:dyDescent="0.35">
      <c r="E385" s="3">
        <v>383</v>
      </c>
      <c r="F385" s="3" t="s">
        <v>407</v>
      </c>
      <c r="G385" s="3" t="s">
        <v>650</v>
      </c>
      <c r="H385" s="3" t="s">
        <v>741</v>
      </c>
      <c r="I385" s="6" t="s">
        <v>404</v>
      </c>
      <c r="J385" s="5" t="str">
        <f>VLOOKUP(I385,[1]Sayfa1!$A:$C,2,0)</f>
        <v>4734 Sayılı Kanun Md</v>
      </c>
      <c r="K385" s="5" t="str">
        <f>VLOOKUP(I385,[1]Sayfa1!$A:$C,3,0)</f>
        <v>md. 22/b</v>
      </c>
    </row>
    <row r="386" spans="5:11" ht="43.5" x14ac:dyDescent="0.35">
      <c r="E386" s="3">
        <v>384</v>
      </c>
      <c r="F386" s="3" t="s">
        <v>407</v>
      </c>
      <c r="G386" s="3" t="s">
        <v>650</v>
      </c>
      <c r="H386" s="3" t="s">
        <v>742</v>
      </c>
      <c r="I386" s="6" t="s">
        <v>405</v>
      </c>
      <c r="J386" s="5" t="str">
        <f>VLOOKUP(I386,[1]Sayfa1!$A:$C,2,0)</f>
        <v>Taşra Teşkilatı Bütçe Muhaseb</v>
      </c>
      <c r="K386" s="5" t="str">
        <f>VLOOKUP(I386,[1]Sayfa1!$A:$C,3,0)</f>
        <v>yön.</v>
      </c>
    </row>
    <row r="387" spans="5:11" ht="43.5" x14ac:dyDescent="0.35">
      <c r="E387" s="3">
        <v>385</v>
      </c>
      <c r="F387" s="3" t="s">
        <v>407</v>
      </c>
      <c r="G387" s="3" t="s">
        <v>650</v>
      </c>
      <c r="H387" s="3" t="s">
        <v>705</v>
      </c>
      <c r="I387" s="12" t="s">
        <v>406</v>
      </c>
      <c r="J387" s="5" t="str">
        <f>VLOOKUP(I387,[1]Sayfa1!$A:$C,2,0)</f>
        <v>Binaların Yangından Korunması Hakkında Yön.</v>
      </c>
      <c r="K387" s="5" t="str">
        <f>VLOOKUP(I387,[1]Sayfa1!$A:$C,3,0)</f>
        <v>md. 55</v>
      </c>
    </row>
    <row r="388" spans="5:11" ht="43.5" x14ac:dyDescent="0.35">
      <c r="E388" s="3">
        <v>386</v>
      </c>
      <c r="F388" s="3" t="s">
        <v>530</v>
      </c>
      <c r="G388" s="3" t="s">
        <v>650</v>
      </c>
      <c r="H388" s="3" t="s">
        <v>652</v>
      </c>
      <c r="I388" s="12" t="s">
        <v>408</v>
      </c>
      <c r="J388" s="5">
        <f>VLOOKUP(I388,[1]Sayfa1!$A:$C,2,0)</f>
        <v>0</v>
      </c>
      <c r="K388" s="5" t="str">
        <f>VLOOKUP(I388,[1]Sayfa1!$A:$C,3,0)</f>
        <v>yönetmeliği</v>
      </c>
    </row>
    <row r="389" spans="5:11" ht="43.5" x14ac:dyDescent="0.35">
      <c r="E389" s="3">
        <v>387</v>
      </c>
      <c r="F389" s="3" t="s">
        <v>530</v>
      </c>
      <c r="G389" s="3" t="s">
        <v>650</v>
      </c>
      <c r="H389" s="3" t="s">
        <v>652</v>
      </c>
      <c r="I389" s="6" t="s">
        <v>409</v>
      </c>
      <c r="J389" s="5">
        <f>VLOOKUP(I389,[1]Sayfa1!$A:$C,2,0)</f>
        <v>0</v>
      </c>
      <c r="K389" s="5" t="str">
        <f>VLOOKUP(I389,[1]Sayfa1!$A:$C,3,0)</f>
        <v>yönetmeliği</v>
      </c>
    </row>
    <row r="390" spans="5:11" ht="43.5" x14ac:dyDescent="0.35">
      <c r="E390" s="3">
        <v>388</v>
      </c>
      <c r="F390" s="3" t="s">
        <v>530</v>
      </c>
      <c r="G390" s="3" t="s">
        <v>650</v>
      </c>
      <c r="H390" s="3" t="s">
        <v>652</v>
      </c>
      <c r="I390" s="6" t="s">
        <v>410</v>
      </c>
      <c r="J390" s="5">
        <f>VLOOKUP(I390,[1]Sayfa1!$A:$C,2,0)</f>
        <v>0</v>
      </c>
      <c r="K390" s="5" t="str">
        <f>VLOOKUP(I390,[1]Sayfa1!$A:$C,3,0)</f>
        <v>md. 10</v>
      </c>
    </row>
    <row r="391" spans="5:11" ht="43.5" x14ac:dyDescent="0.35">
      <c r="E391" s="3">
        <v>389</v>
      </c>
      <c r="F391" s="3" t="s">
        <v>530</v>
      </c>
      <c r="G391" s="3" t="s">
        <v>650</v>
      </c>
      <c r="H391" s="3" t="s">
        <v>652</v>
      </c>
      <c r="I391" s="12" t="s">
        <v>411</v>
      </c>
      <c r="J391" s="5" t="str">
        <f>VLOOKUP(I391,[1]Sayfa1!$A:$C,2,0)</f>
        <v>İşletme Yönetmeliği Md. 12</v>
      </c>
      <c r="K391" s="5" t="str">
        <f>VLOOKUP(I391,[1]Sayfa1!$A:$C,3,0)</f>
        <v>dvk</v>
      </c>
    </row>
    <row r="392" spans="5:11" ht="43.5" x14ac:dyDescent="0.35">
      <c r="E392" s="3">
        <v>390</v>
      </c>
      <c r="F392" s="3" t="s">
        <v>530</v>
      </c>
      <c r="G392" s="3" t="s">
        <v>650</v>
      </c>
      <c r="H392" s="3" t="s">
        <v>652</v>
      </c>
      <c r="I392" s="12" t="s">
        <v>412</v>
      </c>
      <c r="J392" s="5">
        <f>VLOOKUP(I392,[1]Sayfa1!$A:$C,2,0)</f>
        <v>0</v>
      </c>
      <c r="K392" s="5" t="str">
        <f>VLOOKUP(I392,[1]Sayfa1!$A:$C,3,0)</f>
        <v>md. 11-12</v>
      </c>
    </row>
    <row r="393" spans="5:11" ht="43.5" x14ac:dyDescent="0.35">
      <c r="E393" s="3">
        <v>391</v>
      </c>
      <c r="F393" s="3" t="s">
        <v>530</v>
      </c>
      <c r="G393" s="3" t="s">
        <v>650</v>
      </c>
      <c r="H393" s="3" t="s">
        <v>652</v>
      </c>
      <c r="I393" s="6" t="s">
        <v>413</v>
      </c>
      <c r="J393" s="5">
        <f>VLOOKUP(I393,[1]Sayfa1!$A:$C,2,0)</f>
        <v>0</v>
      </c>
      <c r="K393" s="5" t="str">
        <f>VLOOKUP(I393,[1]Sayfa1!$A:$C,3,0)</f>
        <v>md. 12</v>
      </c>
    </row>
    <row r="394" spans="5:11" ht="43.5" x14ac:dyDescent="0.35">
      <c r="E394" s="3">
        <v>392</v>
      </c>
      <c r="F394" s="3" t="s">
        <v>530</v>
      </c>
      <c r="G394" s="3" t="s">
        <v>650</v>
      </c>
      <c r="H394" s="3" t="s">
        <v>652</v>
      </c>
      <c r="I394" s="6" t="s">
        <v>414</v>
      </c>
      <c r="J394" s="5">
        <f>VLOOKUP(I394,[1]Sayfa1!$A:$C,2,0)</f>
        <v>0</v>
      </c>
      <c r="K394" s="5" t="str">
        <f>VLOOKUP(I394,[1]Sayfa1!$A:$C,3,0)</f>
        <v>md. 8</v>
      </c>
    </row>
    <row r="395" spans="5:11" ht="43.5" x14ac:dyDescent="0.35">
      <c r="E395" s="3">
        <v>393</v>
      </c>
      <c r="F395" s="3" t="s">
        <v>530</v>
      </c>
      <c r="G395" s="3" t="s">
        <v>650</v>
      </c>
      <c r="H395" s="3" t="s">
        <v>653</v>
      </c>
      <c r="I395" s="6" t="s">
        <v>415</v>
      </c>
      <c r="J395" s="5" t="str">
        <f>VLOOKUP(I395,[1]Sayfa1!$A:$C,2,0)</f>
        <v>Kamu Konutları Yönetmeliği</v>
      </c>
      <c r="K395" s="5" t="str">
        <f>VLOOKUP(I395,[1]Sayfa1!$A:$C,3,0)</f>
        <v>md. 9</v>
      </c>
    </row>
    <row r="396" spans="5:11" ht="43.5" x14ac:dyDescent="0.35">
      <c r="E396" s="3">
        <v>394</v>
      </c>
      <c r="F396" s="3" t="s">
        <v>530</v>
      </c>
      <c r="G396" s="3" t="s">
        <v>650</v>
      </c>
      <c r="H396" s="3" t="s">
        <v>653</v>
      </c>
      <c r="I396" s="12" t="s">
        <v>416</v>
      </c>
      <c r="J396" s="5" t="str">
        <f>VLOOKUP(I396,[1]Sayfa1!$A:$C,2,0)</f>
        <v>Kamu Konutları Yönetmeliği</v>
      </c>
      <c r="K396" s="5" t="str">
        <f>VLOOKUP(I396,[1]Sayfa1!$A:$C,3,0)</f>
        <v>md. 9</v>
      </c>
    </row>
    <row r="397" spans="5:11" ht="43.5" x14ac:dyDescent="0.35">
      <c r="E397" s="3">
        <v>395</v>
      </c>
      <c r="F397" s="3" t="s">
        <v>530</v>
      </c>
      <c r="G397" s="3" t="s">
        <v>650</v>
      </c>
      <c r="H397" s="3" t="s">
        <v>653</v>
      </c>
      <c r="I397" s="12" t="s">
        <v>417</v>
      </c>
      <c r="J397" s="5" t="str">
        <f>VLOOKUP(I397,[1]Sayfa1!$A:$C,2,0)</f>
        <v xml:space="preserve">Kamu Konutları Yönetmeliği </v>
      </c>
      <c r="K397" s="5" t="str">
        <f>VLOOKUP(I397,[1]Sayfa1!$A:$C,3,0)</f>
        <v>md. 14</v>
      </c>
    </row>
    <row r="398" spans="5:11" ht="43.5" x14ac:dyDescent="0.35">
      <c r="E398" s="3">
        <v>396</v>
      </c>
      <c r="F398" s="3" t="s">
        <v>530</v>
      </c>
      <c r="G398" s="3" t="s">
        <v>650</v>
      </c>
      <c r="H398" s="3" t="s">
        <v>653</v>
      </c>
      <c r="I398" s="6" t="s">
        <v>418</v>
      </c>
      <c r="J398" s="5" t="str">
        <f>VLOOKUP(I398,[1]Sayfa1!$A:$C,2,0)</f>
        <v xml:space="preserve">Kamu Konutları Yönetmeliği </v>
      </c>
      <c r="K398" s="5" t="str">
        <f>VLOOKUP(I398,[1]Sayfa1!$A:$C,3,0)</f>
        <v>md. 14</v>
      </c>
    </row>
    <row r="399" spans="5:11" ht="43.5" x14ac:dyDescent="0.35">
      <c r="E399" s="3">
        <v>397</v>
      </c>
      <c r="F399" s="3" t="s">
        <v>530</v>
      </c>
      <c r="G399" s="3" t="s">
        <v>650</v>
      </c>
      <c r="H399" s="3" t="s">
        <v>653</v>
      </c>
      <c r="I399" s="6" t="s">
        <v>419</v>
      </c>
      <c r="J399" s="5" t="str">
        <f>VLOOKUP(I399,[1]Sayfa1!$A:$C,2,0)</f>
        <v xml:space="preserve">Kamu Konutları Yönetmeliği </v>
      </c>
      <c r="K399" s="5" t="str">
        <f>VLOOKUP(I399,[1]Sayfa1!$A:$C,3,0)</f>
        <v>md. 17</v>
      </c>
    </row>
    <row r="400" spans="5:11" ht="43.5" x14ac:dyDescent="0.35">
      <c r="E400" s="3">
        <v>398</v>
      </c>
      <c r="F400" s="3" t="s">
        <v>530</v>
      </c>
      <c r="G400" s="3" t="s">
        <v>650</v>
      </c>
      <c r="H400" s="3" t="s">
        <v>653</v>
      </c>
      <c r="I400" s="12" t="s">
        <v>420</v>
      </c>
      <c r="J400" s="5" t="str">
        <f>VLOOKUP(I400,[1]Sayfa1!$A:$C,2,0)</f>
        <v xml:space="preserve">Kamu Konutları Yönetmeliği </v>
      </c>
      <c r="K400" s="5" t="str">
        <f>VLOOKUP(I400,[1]Sayfa1!$A:$C,3,0)</f>
        <v>md. 18</v>
      </c>
    </row>
    <row r="401" spans="5:11" ht="43.5" x14ac:dyDescent="0.35">
      <c r="E401" s="3">
        <v>399</v>
      </c>
      <c r="F401" s="3" t="s">
        <v>530</v>
      </c>
      <c r="G401" s="3" t="s">
        <v>650</v>
      </c>
      <c r="H401" s="3" t="s">
        <v>653</v>
      </c>
      <c r="I401" s="6" t="s">
        <v>421</v>
      </c>
      <c r="J401" s="5" t="str">
        <f>VLOOKUP(I401,[1]Sayfa1!$A:$C,2,0)</f>
        <v xml:space="preserve">Kamu Konutları Yönetmeliği </v>
      </c>
      <c r="K401" s="5" t="str">
        <f>VLOOKUP(I401,[1]Sayfa1!$A:$C,3,0)</f>
        <v>md. 19</v>
      </c>
    </row>
    <row r="402" spans="5:11" ht="43.5" x14ac:dyDescent="0.35">
      <c r="E402" s="3">
        <v>400</v>
      </c>
      <c r="F402" s="3" t="s">
        <v>530</v>
      </c>
      <c r="G402" s="3" t="s">
        <v>650</v>
      </c>
      <c r="H402" s="3" t="s">
        <v>653</v>
      </c>
      <c r="I402" s="6" t="s">
        <v>422</v>
      </c>
      <c r="J402" s="5" t="str">
        <f>VLOOKUP(I402,[1]Sayfa1!$A:$C,2,0)</f>
        <v>2946 S.K. Md. 7 / Kamu Konutları Yön.</v>
      </c>
      <c r="K402" s="5" t="str">
        <f>VLOOKUP(I402,[1]Sayfa1!$A:$C,3,0)</f>
        <v>md. 34</v>
      </c>
    </row>
    <row r="403" spans="5:11" ht="43.5" x14ac:dyDescent="0.35">
      <c r="E403" s="3">
        <v>401</v>
      </c>
      <c r="F403" s="3" t="s">
        <v>530</v>
      </c>
      <c r="G403" s="3" t="s">
        <v>650</v>
      </c>
      <c r="H403" s="3" t="s">
        <v>653</v>
      </c>
      <c r="I403" s="6" t="s">
        <v>423</v>
      </c>
      <c r="J403" s="5" t="str">
        <f>VLOOKUP(I403,[1]Sayfa1!$A:$C,2,0)</f>
        <v xml:space="preserve">Afet Riski Altındaki Alanların Dön. </v>
      </c>
      <c r="K403" s="5" t="str">
        <f>VLOOKUP(I403,[1]Sayfa1!$A:$C,3,0)</f>
        <v>kanunu</v>
      </c>
    </row>
    <row r="404" spans="5:11" ht="43.5" x14ac:dyDescent="0.35">
      <c r="E404" s="3">
        <v>402</v>
      </c>
      <c r="F404" s="3" t="s">
        <v>530</v>
      </c>
      <c r="G404" s="3" t="s">
        <v>650</v>
      </c>
      <c r="H404" s="3" t="s">
        <v>654</v>
      </c>
      <c r="I404" s="6" t="s">
        <v>424</v>
      </c>
      <c r="J404" s="5" t="str">
        <f>VLOOKUP(I404,[1]Sayfa1!$A:$C,2,0)</f>
        <v>Yatırım ve İşletmeler Gn.</v>
      </c>
      <c r="K404" s="5" t="str">
        <f>VLOOKUP(I404,[1]Sayfa1!$A:$C,3,0)</f>
        <v>md. talimatları</v>
      </c>
    </row>
    <row r="405" spans="5:11" ht="43.5" x14ac:dyDescent="0.35">
      <c r="E405" s="3">
        <v>403</v>
      </c>
      <c r="F405" s="3" t="s">
        <v>530</v>
      </c>
      <c r="G405" s="3" t="s">
        <v>650</v>
      </c>
      <c r="H405" s="3" t="s">
        <v>654</v>
      </c>
      <c r="I405" s="12" t="s">
        <v>425</v>
      </c>
      <c r="J405" s="5" t="str">
        <f>VLOOKUP(I405,[1]Sayfa1!$A:$C,2,0)</f>
        <v>6306 Sayılı Kanun (Kentsel Dönüşüm)</v>
      </c>
      <c r="K405" s="5" t="str">
        <f>VLOOKUP(I405,[1]Sayfa1!$A:$C,3,0)</f>
        <v>dönüşüm)</v>
      </c>
    </row>
    <row r="406" spans="5:11" ht="43.5" x14ac:dyDescent="0.35">
      <c r="E406" s="3">
        <v>404</v>
      </c>
      <c r="F406" s="3" t="s">
        <v>530</v>
      </c>
      <c r="G406" s="3" t="s">
        <v>650</v>
      </c>
      <c r="H406" s="3" t="s">
        <v>655</v>
      </c>
      <c r="I406" s="12" t="s">
        <v>426</v>
      </c>
      <c r="J406" s="5" t="str">
        <f>VLOOKUP(I406,[1]Sayfa1!$A:$C,2,0)</f>
        <v>237 Sayılı Taşıt Kanunu / 2021/14 Sayıl</v>
      </c>
      <c r="K406" s="5" t="str">
        <f>VLOOKUP(I406,[1]Sayfa1!$A:$C,3,0)</f>
        <v>gen.</v>
      </c>
    </row>
    <row r="407" spans="5:11" ht="43.5" x14ac:dyDescent="0.35">
      <c r="E407" s="3">
        <v>405</v>
      </c>
      <c r="F407" s="3" t="s">
        <v>530</v>
      </c>
      <c r="G407" s="3" t="s">
        <v>650</v>
      </c>
      <c r="H407" s="3" t="s">
        <v>655</v>
      </c>
      <c r="I407" s="12" t="s">
        <v>427</v>
      </c>
      <c r="J407" s="5">
        <f>VLOOKUP(I407,[1]Sayfa1!$A:$C,2,0)</f>
        <v>0</v>
      </c>
      <c r="K407" s="5" t="str">
        <f>VLOOKUP(I407,[1]Sayfa1!$A:$C,3,0)</f>
        <v>kanunu</v>
      </c>
    </row>
    <row r="408" spans="5:11" ht="43.5" x14ac:dyDescent="0.35">
      <c r="E408" s="3">
        <v>406</v>
      </c>
      <c r="F408" s="3" t="s">
        <v>530</v>
      </c>
      <c r="G408" s="3" t="s">
        <v>650</v>
      </c>
      <c r="H408" s="3" t="s">
        <v>657</v>
      </c>
      <c r="I408" s="6" t="s">
        <v>428</v>
      </c>
      <c r="J408" s="5" t="str">
        <f>VLOOKUP(I408,[1]Sayfa1!$A:$C,2,0)</f>
        <v>Borçlar Kanunu / Kiralama Me</v>
      </c>
      <c r="K408" s="5" t="str">
        <f>VLOOKUP(I408,[1]Sayfa1!$A:$C,3,0)</f>
        <v>mevzuatı</v>
      </c>
    </row>
    <row r="409" spans="5:11" ht="43.5" x14ac:dyDescent="0.35">
      <c r="E409" s="3">
        <v>407</v>
      </c>
      <c r="F409" s="3" t="s">
        <v>530</v>
      </c>
      <c r="G409" s="3" t="s">
        <v>650</v>
      </c>
      <c r="H409" s="3" t="s">
        <v>656</v>
      </c>
      <c r="I409" s="12" t="s">
        <v>429</v>
      </c>
      <c r="J409" s="5" t="str">
        <f>VLOOKUP(I409,[1]Sayfa1!$A:$C,2,0)</f>
        <v>Hazine Taşınmazlarının İdaresi Hakkın</v>
      </c>
      <c r="K409" s="5" t="str">
        <f>VLOOKUP(I409,[1]Sayfa1!$A:$C,3,0)</f>
        <v>yön</v>
      </c>
    </row>
    <row r="410" spans="5:11" ht="43.5" x14ac:dyDescent="0.35">
      <c r="E410" s="3">
        <v>408</v>
      </c>
      <c r="F410" s="3" t="s">
        <v>530</v>
      </c>
      <c r="G410" s="3" t="s">
        <v>650</v>
      </c>
      <c r="H410" s="3" t="s">
        <v>656</v>
      </c>
      <c r="I410" s="6" t="s">
        <v>430</v>
      </c>
      <c r="J410" s="5" t="str">
        <f>VLOOKUP(I410,[1]Sayfa1!$A:$C,2,0)</f>
        <v>Yatırım ve İşletmeler Gn. Md. 22.</v>
      </c>
      <c r="K410" s="5" t="str">
        <f>VLOOKUP(I410,[1]Sayfa1!$A:$C,3,0)</f>
        <v>md. 22.06.2022 tarihli yazı</v>
      </c>
    </row>
    <row r="411" spans="5:11" ht="43.5" x14ac:dyDescent="0.35">
      <c r="E411" s="3">
        <v>409</v>
      </c>
      <c r="F411" s="3" t="s">
        <v>530</v>
      </c>
      <c r="G411" s="3" t="s">
        <v>650</v>
      </c>
      <c r="H411" s="3" t="s">
        <v>656</v>
      </c>
      <c r="I411" s="6" t="s">
        <v>431</v>
      </c>
      <c r="J411" s="5" t="str">
        <f>VLOOKUP(I411,[1]Sayfa1!$A:$C,2,0)</f>
        <v>Taşınmazların İdaresi Hakkında Yön.</v>
      </c>
      <c r="K411" s="5" t="str">
        <f>VLOOKUP(I411,[1]Sayfa1!$A:$C,3,0)</f>
        <v>md. 12/3</v>
      </c>
    </row>
    <row r="412" spans="5:11" ht="43.5" x14ac:dyDescent="0.35">
      <c r="E412" s="3">
        <v>410</v>
      </c>
      <c r="F412" s="3" t="s">
        <v>530</v>
      </c>
      <c r="G412" s="3" t="s">
        <v>650</v>
      </c>
      <c r="H412" s="3" t="s">
        <v>656</v>
      </c>
      <c r="I412" s="6" t="s">
        <v>432</v>
      </c>
      <c r="J412" s="5" t="str">
        <f>VLOOKUP(I412,[1]Sayfa1!$A:$C,2,0)</f>
        <v>2886 Sayılı Devlet İhale Kanunu</v>
      </c>
      <c r="K412" s="5" t="str">
        <f>VLOOKUP(I412,[1]Sayfa1!$A:$C,3,0)</f>
        <v>md. 9</v>
      </c>
    </row>
    <row r="413" spans="5:11" ht="43.5" x14ac:dyDescent="0.35">
      <c r="E413" s="3">
        <v>411</v>
      </c>
      <c r="F413" s="3" t="s">
        <v>530</v>
      </c>
      <c r="G413" s="3" t="s">
        <v>650</v>
      </c>
      <c r="H413" s="3" t="s">
        <v>656</v>
      </c>
      <c r="I413" s="12" t="s">
        <v>433</v>
      </c>
      <c r="J413" s="5" t="str">
        <f>VLOOKUP(I413,[1]Sayfa1!$A:$C,2,0)</f>
        <v>488 Sayılı DVK / GİB 08.</v>
      </c>
      <c r="K413" s="5" t="str">
        <f>VLOOKUP(I413,[1]Sayfa1!$A:$C,3,0)</f>
        <v>özelge</v>
      </c>
    </row>
    <row r="414" spans="5:11" ht="43.5" x14ac:dyDescent="0.35">
      <c r="E414" s="3">
        <v>412</v>
      </c>
      <c r="F414" s="3" t="s">
        <v>530</v>
      </c>
      <c r="G414" s="3" t="s">
        <v>650</v>
      </c>
      <c r="H414" s="3" t="s">
        <v>656</v>
      </c>
      <c r="I414" s="6" t="s">
        <v>434</v>
      </c>
      <c r="J414" s="5" t="str">
        <f>VLOOKUP(I414,[1]Sayfa1!$A:$C,2,0)</f>
        <v xml:space="preserve">488 Sayılı Damga Vergisi </v>
      </c>
      <c r="K414" s="5" t="str">
        <f>VLOOKUP(I414,[1]Sayfa1!$A:$C,3,0)</f>
        <v>kanunu</v>
      </c>
    </row>
    <row r="415" spans="5:11" ht="43.5" x14ac:dyDescent="0.35">
      <c r="E415" s="3">
        <v>413</v>
      </c>
      <c r="F415" s="3" t="s">
        <v>530</v>
      </c>
      <c r="G415" s="3" t="s">
        <v>650</v>
      </c>
      <c r="H415" s="3" t="s">
        <v>658</v>
      </c>
      <c r="I415" s="12" t="s">
        <v>435</v>
      </c>
      <c r="J415" s="5" t="str">
        <f>VLOOKUP(I415,[1]Sayfa1!$A:$C,2,0)</f>
        <v>Mal Alımı İhaleleri Uyg. Yön.</v>
      </c>
      <c r="K415" s="5" t="str">
        <f>VLOOKUP(I415,[1]Sayfa1!$A:$C,3,0)</f>
        <v>md. 12</v>
      </c>
    </row>
    <row r="416" spans="5:11" ht="43.5" x14ac:dyDescent="0.35">
      <c r="E416" s="3">
        <v>414</v>
      </c>
      <c r="F416" s="3" t="s">
        <v>530</v>
      </c>
      <c r="G416" s="3" t="s">
        <v>650</v>
      </c>
      <c r="H416" s="3" t="s">
        <v>658</v>
      </c>
      <c r="I416" s="6" t="s">
        <v>436</v>
      </c>
      <c r="J416" s="5" t="str">
        <f>VLOOKUP(I416,[1]Sayfa1!$A:$C,2,0)</f>
        <v xml:space="preserve">4734 Sayılı Kanun </v>
      </c>
      <c r="K416" s="5" t="str">
        <f>VLOOKUP(I416,[1]Sayfa1!$A:$C,3,0)</f>
        <v>md. 42</v>
      </c>
    </row>
    <row r="417" spans="5:11" ht="43.5" x14ac:dyDescent="0.35">
      <c r="E417" s="3">
        <v>415</v>
      </c>
      <c r="F417" s="3" t="s">
        <v>530</v>
      </c>
      <c r="G417" s="3" t="s">
        <v>650</v>
      </c>
      <c r="H417" s="3" t="s">
        <v>658</v>
      </c>
      <c r="I417" s="12" t="s">
        <v>437</v>
      </c>
      <c r="J417" s="5" t="str">
        <f>VLOOKUP(I417,[1]Sayfa1!$A:$C,2,0)</f>
        <v>4735 S.K. Md. 10 / 488 S.K.</v>
      </c>
      <c r="K417" s="5" t="str">
        <f>VLOOKUP(I417,[1]Sayfa1!$A:$C,3,0)</f>
        <v>md. 14</v>
      </c>
    </row>
    <row r="418" spans="5:11" ht="43.5" x14ac:dyDescent="0.35">
      <c r="E418" s="3">
        <v>416</v>
      </c>
      <c r="F418" s="3" t="s">
        <v>530</v>
      </c>
      <c r="G418" s="3" t="s">
        <v>650</v>
      </c>
      <c r="H418" s="3" t="s">
        <v>658</v>
      </c>
      <c r="I418" s="12" t="s">
        <v>438</v>
      </c>
      <c r="J418" s="5" t="str">
        <f>VLOOKUP(I418,[1]Sayfa1!$A:$C,2,0)</f>
        <v>Yapım İşleri Genel Şartnamesi</v>
      </c>
      <c r="K418" s="5" t="str">
        <f>VLOOKUP(I418,[1]Sayfa1!$A:$C,3,0)</f>
        <v>md. 9</v>
      </c>
    </row>
    <row r="419" spans="5:11" ht="43.5" x14ac:dyDescent="0.35">
      <c r="E419" s="3">
        <v>417</v>
      </c>
      <c r="F419" s="3" t="s">
        <v>530</v>
      </c>
      <c r="G419" s="3" t="s">
        <v>650</v>
      </c>
      <c r="H419" s="3" t="s">
        <v>658</v>
      </c>
      <c r="I419" s="6" t="s">
        <v>439</v>
      </c>
      <c r="J419" s="5" t="str">
        <f>VLOOKUP(I419,[1]Sayfa1!$A:$C,2,0)</f>
        <v>Yapım İşleri Genel Şartnamesi M</v>
      </c>
      <c r="K419" s="5" t="str">
        <f>VLOOKUP(I419,[1]Sayfa1!$A:$C,3,0)</f>
        <v>md. 9/2</v>
      </c>
    </row>
    <row r="420" spans="5:11" ht="43.5" x14ac:dyDescent="0.35">
      <c r="E420" s="3">
        <v>418</v>
      </c>
      <c r="F420" s="3" t="s">
        <v>530</v>
      </c>
      <c r="G420" s="3" t="s">
        <v>650</v>
      </c>
      <c r="H420" s="3" t="s">
        <v>658</v>
      </c>
      <c r="I420" s="6" t="s">
        <v>440</v>
      </c>
      <c r="J420" s="5" t="str">
        <f>VLOOKUP(I420,[1]Sayfa1!$A:$C,2,0)</f>
        <v xml:space="preserve">Hizmet İşleri Genel Şartnamesi </v>
      </c>
      <c r="K420" s="5" t="str">
        <f>VLOOKUP(I420,[1]Sayfa1!$A:$C,3,0)</f>
        <v>md. 26</v>
      </c>
    </row>
    <row r="421" spans="5:11" ht="43.5" x14ac:dyDescent="0.35">
      <c r="E421" s="3">
        <v>419</v>
      </c>
      <c r="F421" s="3" t="s">
        <v>530</v>
      </c>
      <c r="G421" s="3" t="s">
        <v>650</v>
      </c>
      <c r="H421" s="3" t="s">
        <v>658</v>
      </c>
      <c r="I421" s="12" t="s">
        <v>441</v>
      </c>
      <c r="J421" s="5" t="str">
        <f>VLOOKUP(I421,[1]Sayfa1!$A:$C,2,0)</f>
        <v>4734 Sayılı Kanun Md. 34</v>
      </c>
      <c r="K421" s="5" t="str">
        <f>VLOOKUP(I421,[1]Sayfa1!$A:$C,3,0)</f>
        <v>md. 34 ve 44</v>
      </c>
    </row>
    <row r="422" spans="5:11" ht="43.5" x14ac:dyDescent="0.35">
      <c r="E422" s="3">
        <v>420</v>
      </c>
      <c r="F422" s="3" t="s">
        <v>530</v>
      </c>
      <c r="G422" s="3" t="s">
        <v>650</v>
      </c>
      <c r="H422" s="3" t="s">
        <v>658</v>
      </c>
      <c r="I422" s="6" t="s">
        <v>442</v>
      </c>
      <c r="J422" s="5" t="str">
        <f>VLOOKUP(I422,[1]Sayfa1!$A:$C,2,0)</f>
        <v>Kamu İhale Genel Tebliği Md. 30.</v>
      </c>
      <c r="K422" s="5" t="str">
        <f>VLOOKUP(I422,[1]Sayfa1!$A:$C,3,0)</f>
        <v>md. 30.9.2</v>
      </c>
    </row>
    <row r="423" spans="5:11" ht="43.5" x14ac:dyDescent="0.35">
      <c r="E423" s="3">
        <v>421</v>
      </c>
      <c r="F423" s="3" t="s">
        <v>530</v>
      </c>
      <c r="G423" s="3" t="s">
        <v>650</v>
      </c>
      <c r="H423" s="3" t="s">
        <v>658</v>
      </c>
      <c r="I423" s="12" t="s">
        <v>443</v>
      </c>
      <c r="J423" s="5" t="str">
        <f>VLOOKUP(I423,[1]Sayfa1!$A:$C,2,0)</f>
        <v>Kamu İhale Genel Tebliği Md. 30.</v>
      </c>
      <c r="K423" s="5" t="str">
        <f>VLOOKUP(I423,[1]Sayfa1!$A:$C,3,0)</f>
        <v>md. 30.5.4</v>
      </c>
    </row>
    <row r="424" spans="5:11" ht="43.5" x14ac:dyDescent="0.35">
      <c r="E424" s="3">
        <v>422</v>
      </c>
      <c r="F424" s="3" t="s">
        <v>530</v>
      </c>
      <c r="G424" s="3" t="s">
        <v>650</v>
      </c>
      <c r="H424" s="3" t="s">
        <v>658</v>
      </c>
      <c r="I424" s="6" t="s">
        <v>444</v>
      </c>
      <c r="J424" s="5" t="str">
        <f>VLOOKUP(I424,[1]Sayfa1!$A:$C,2,0)</f>
        <v>4734 S.K. Md. 24 / Yapım İşl. Uyg. Yön.</v>
      </c>
      <c r="K424" s="5" t="str">
        <f>VLOOKUP(I424,[1]Sayfa1!$A:$C,3,0)</f>
        <v>md. 22</v>
      </c>
    </row>
    <row r="425" spans="5:11" ht="43.5" x14ac:dyDescent="0.35">
      <c r="E425" s="3">
        <v>423</v>
      </c>
      <c r="F425" s="3" t="s">
        <v>530</v>
      </c>
      <c r="G425" s="3" t="s">
        <v>650</v>
      </c>
      <c r="H425" s="3" t="s">
        <v>658</v>
      </c>
      <c r="I425" s="6" t="s">
        <v>445</v>
      </c>
      <c r="J425" s="5" t="str">
        <f>VLOOKUP(I425,[1]Sayfa1!$A:$C,2,0)</f>
        <v>Yapım İşleri İhaleleri Uyg. Yön.</v>
      </c>
      <c r="K425" s="5" t="str">
        <f>VLOOKUP(I425,[1]Sayfa1!$A:$C,3,0)</f>
        <v>md. 20-21</v>
      </c>
    </row>
    <row r="426" spans="5:11" ht="43.5" x14ac:dyDescent="0.35">
      <c r="E426" s="3">
        <v>424</v>
      </c>
      <c r="F426" s="3" t="s">
        <v>530</v>
      </c>
      <c r="G426" s="3" t="s">
        <v>650</v>
      </c>
      <c r="H426" s="3" t="s">
        <v>658</v>
      </c>
      <c r="I426" s="12" t="s">
        <v>446</v>
      </c>
      <c r="J426" s="5" t="str">
        <f>VLOOKUP(I426,[1]Sayfa1!$A:$C,2,0)</f>
        <v>Sözleşme Genel Şartları Md.</v>
      </c>
      <c r="K426" s="5" t="str">
        <f>VLOOKUP(I426,[1]Sayfa1!$A:$C,3,0)</f>
        <v>md. 9.1</v>
      </c>
    </row>
    <row r="427" spans="5:11" ht="43.5" x14ac:dyDescent="0.35">
      <c r="E427" s="3">
        <v>425</v>
      </c>
      <c r="F427" s="3" t="s">
        <v>530</v>
      </c>
      <c r="G427" s="3" t="s">
        <v>650</v>
      </c>
      <c r="H427" s="3" t="s">
        <v>658</v>
      </c>
      <c r="I427" s="12" t="s">
        <v>447</v>
      </c>
      <c r="J427" s="5" t="str">
        <f>VLOOKUP(I427,[1]Sayfa1!$A:$C,2,0)</f>
        <v>Yapım İşleri Genel Şartnamesi Md.</v>
      </c>
      <c r="K427" s="5" t="str">
        <f>VLOOKUP(I427,[1]Sayfa1!$A:$C,3,0)</f>
        <v>md. 14-15</v>
      </c>
    </row>
    <row r="428" spans="5:11" ht="29" x14ac:dyDescent="0.35">
      <c r="E428" s="3">
        <v>426</v>
      </c>
      <c r="F428" s="3" t="s">
        <v>530</v>
      </c>
      <c r="G428" s="3" t="s">
        <v>650</v>
      </c>
      <c r="H428" s="3" t="s">
        <v>658</v>
      </c>
      <c r="I428" s="6" t="s">
        <v>448</v>
      </c>
      <c r="J428" s="5" t="str">
        <f>VLOOKUP(I428,[1]Sayfa1!$A:$C,2,0)</f>
        <v>Yapım İşleri Genel Şartnamesi</v>
      </c>
      <c r="K428" s="5" t="str">
        <f>VLOOKUP(I428,[1]Sayfa1!$A:$C,3,0)</f>
        <v>md. 5</v>
      </c>
    </row>
    <row r="429" spans="5:11" ht="43.5" x14ac:dyDescent="0.35">
      <c r="E429" s="3">
        <v>427</v>
      </c>
      <c r="F429" s="3" t="s">
        <v>530</v>
      </c>
      <c r="G429" s="3" t="s">
        <v>650</v>
      </c>
      <c r="H429" s="3" t="s">
        <v>658</v>
      </c>
      <c r="I429" s="6" t="s">
        <v>449</v>
      </c>
      <c r="J429" s="5" t="str">
        <f>VLOOKUP(I429,[1]Sayfa1!$A:$C,2,0)</f>
        <v xml:space="preserve">Yapım İşleri Genel Şartnamesi </v>
      </c>
      <c r="K429" s="5" t="str">
        <f>VLOOKUP(I429,[1]Sayfa1!$A:$C,3,0)</f>
        <v>md. 17</v>
      </c>
    </row>
    <row r="430" spans="5:11" ht="43.5" x14ac:dyDescent="0.35">
      <c r="E430" s="3">
        <v>428</v>
      </c>
      <c r="F430" s="3" t="s">
        <v>530</v>
      </c>
      <c r="G430" s="3" t="s">
        <v>650</v>
      </c>
      <c r="H430" s="3" t="s">
        <v>658</v>
      </c>
      <c r="I430" s="6" t="s">
        <v>450</v>
      </c>
      <c r="J430" s="5" t="str">
        <f>VLOOKUP(I430,[1]Sayfa1!$A:$C,2,0)</f>
        <v xml:space="preserve">Yapım İşleri Genel Şartnamesi </v>
      </c>
      <c r="K430" s="5" t="str">
        <f>VLOOKUP(I430,[1]Sayfa1!$A:$C,3,0)</f>
        <v>md. 20</v>
      </c>
    </row>
    <row r="431" spans="5:11" ht="43.5" x14ac:dyDescent="0.35">
      <c r="E431" s="3">
        <v>429</v>
      </c>
      <c r="F431" s="3" t="s">
        <v>530</v>
      </c>
      <c r="G431" s="3" t="s">
        <v>650</v>
      </c>
      <c r="H431" s="3" t="s">
        <v>658</v>
      </c>
      <c r="I431" s="6" t="s">
        <v>451</v>
      </c>
      <c r="J431" s="5" t="str">
        <f>VLOOKUP(I431,[1]Sayfa1!$A:$C,2,0)</f>
        <v xml:space="preserve">Yapım İşleri Genel Şartnamesi </v>
      </c>
      <c r="K431" s="5" t="str">
        <f>VLOOKUP(I431,[1]Sayfa1!$A:$C,3,0)</f>
        <v>md. 40</v>
      </c>
    </row>
    <row r="432" spans="5:11" ht="43.5" x14ac:dyDescent="0.35">
      <c r="E432" s="3">
        <v>430</v>
      </c>
      <c r="F432" s="3" t="s">
        <v>530</v>
      </c>
      <c r="G432" s="3" t="s">
        <v>650</v>
      </c>
      <c r="H432" s="3" t="s">
        <v>658</v>
      </c>
      <c r="I432" s="12" t="s">
        <v>452</v>
      </c>
      <c r="J432" s="5" t="str">
        <f>VLOOKUP(I432,[1]Sayfa1!$A:$C,2,0)</f>
        <v>Sözleşme Md. 20 / Yapım İşl. G.Ş.</v>
      </c>
      <c r="K432" s="5" t="str">
        <f>VLOOKUP(I432,[1]Sayfa1!$A:$C,3,0)</f>
        <v>md. 42</v>
      </c>
    </row>
    <row r="433" spans="5:11" ht="43.5" x14ac:dyDescent="0.35">
      <c r="E433" s="3">
        <v>431</v>
      </c>
      <c r="F433" s="3" t="s">
        <v>530</v>
      </c>
      <c r="G433" s="3" t="s">
        <v>650</v>
      </c>
      <c r="H433" s="3" t="s">
        <v>658</v>
      </c>
      <c r="I433" s="6" t="s">
        <v>453</v>
      </c>
      <c r="J433" s="5" t="str">
        <f>VLOOKUP(I433,[1]Sayfa1!$A:$C,2,0)</f>
        <v>Yapım İşleri Genel Şartnamesi Md</v>
      </c>
      <c r="K433" s="5" t="str">
        <f>VLOOKUP(I433,[1]Sayfa1!$A:$C,3,0)</f>
        <v>md. 21/1</v>
      </c>
    </row>
    <row r="434" spans="5:11" ht="29" x14ac:dyDescent="0.35">
      <c r="E434" s="3">
        <v>432</v>
      </c>
      <c r="F434" s="3" t="s">
        <v>530</v>
      </c>
      <c r="G434" s="3" t="s">
        <v>650</v>
      </c>
      <c r="H434" s="3" t="s">
        <v>658</v>
      </c>
      <c r="I434" s="6" t="s">
        <v>454</v>
      </c>
      <c r="J434" s="5">
        <f>VLOOKUP(I434,[1]Sayfa1!$A:$C,2,0)</f>
        <v>0</v>
      </c>
      <c r="K434" s="5" t="str">
        <f>VLOOKUP(I434,[1]Sayfa1!$A:$C,3,0)</f>
        <v>şartnamesi</v>
      </c>
    </row>
    <row r="435" spans="5:11" ht="43.5" x14ac:dyDescent="0.35">
      <c r="E435" s="3">
        <v>433</v>
      </c>
      <c r="F435" s="3" t="s">
        <v>530</v>
      </c>
      <c r="G435" s="3" t="s">
        <v>650</v>
      </c>
      <c r="H435" s="3" t="s">
        <v>658</v>
      </c>
      <c r="I435" s="12" t="s">
        <v>455</v>
      </c>
      <c r="J435" s="5" t="str">
        <f>VLOOKUP(I435,[1]Sayfa1!$A:$C,2,0)</f>
        <v>4734 Sayılı Kanun</v>
      </c>
      <c r="K435" s="5" t="str">
        <f>VLOOKUP(I435,[1]Sayfa1!$A:$C,3,0)</f>
        <v>md. 6</v>
      </c>
    </row>
    <row r="436" spans="5:11" ht="43.5" x14ac:dyDescent="0.35">
      <c r="E436" s="3">
        <v>434</v>
      </c>
      <c r="F436" s="3" t="s">
        <v>530</v>
      </c>
      <c r="G436" s="3" t="s">
        <v>650</v>
      </c>
      <c r="H436" s="3" t="s">
        <v>658</v>
      </c>
      <c r="I436" s="6" t="s">
        <v>456</v>
      </c>
      <c r="J436" s="5" t="str">
        <f>VLOOKUP(I436,[1]Sayfa1!$A:$C,2,0)</f>
        <v>4734 Sayılı Kanun</v>
      </c>
      <c r="K436" s="5" t="str">
        <f>VLOOKUP(I436,[1]Sayfa1!$A:$C,3,0)</f>
        <v>md. 6</v>
      </c>
    </row>
    <row r="437" spans="5:11" ht="43.5" x14ac:dyDescent="0.35">
      <c r="E437" s="3">
        <v>435</v>
      </c>
      <c r="F437" s="3" t="s">
        <v>530</v>
      </c>
      <c r="G437" s="3" t="s">
        <v>650</v>
      </c>
      <c r="H437" s="3" t="s">
        <v>658</v>
      </c>
      <c r="I437" s="6" t="s">
        <v>457</v>
      </c>
      <c r="J437" s="5" t="str">
        <f>VLOOKUP(I437,[1]Sayfa1!$A:$C,2,0)</f>
        <v>Yapım İşleri İhaleleri Uyg. Yön.</v>
      </c>
      <c r="K437" s="5" t="str">
        <f>VLOOKUP(I437,[1]Sayfa1!$A:$C,3,0)</f>
        <v>md. 10</v>
      </c>
    </row>
    <row r="438" spans="5:11" ht="43.5" x14ac:dyDescent="0.35">
      <c r="E438" s="3">
        <v>436</v>
      </c>
      <c r="F438" s="3" t="s">
        <v>530</v>
      </c>
      <c r="G438" s="3" t="s">
        <v>650</v>
      </c>
      <c r="H438" s="3" t="s">
        <v>658</v>
      </c>
      <c r="I438" s="12" t="s">
        <v>458</v>
      </c>
      <c r="J438" s="5" t="str">
        <f>VLOOKUP(I438,[1]Sayfa1!$A:$C,2,0)</f>
        <v>Yapım İşleri Genel Şartnamesi Md</v>
      </c>
      <c r="K438" s="5" t="str">
        <f>VLOOKUP(I438,[1]Sayfa1!$A:$C,3,0)</f>
        <v>md. 41/5</v>
      </c>
    </row>
    <row r="439" spans="5:11" ht="43.5" x14ac:dyDescent="0.35">
      <c r="E439" s="3">
        <v>437</v>
      </c>
      <c r="F439" s="3" t="s">
        <v>530</v>
      </c>
      <c r="G439" s="3" t="s">
        <v>650</v>
      </c>
      <c r="H439" s="3" t="s">
        <v>658</v>
      </c>
      <c r="I439" s="6" t="s">
        <v>459</v>
      </c>
      <c r="J439" s="5" t="str">
        <f>VLOOKUP(I439,[1]Sayfa1!$A:$C,2,0)</f>
        <v>4734 Sayılı Kanun Md</v>
      </c>
      <c r="K439" s="5" t="str">
        <f>VLOOKUP(I439,[1]Sayfa1!$A:$C,3,0)</f>
        <v>md. 21/b</v>
      </c>
    </row>
    <row r="440" spans="5:11" ht="43.5" x14ac:dyDescent="0.35">
      <c r="E440" s="3">
        <v>438</v>
      </c>
      <c r="F440" s="3" t="s">
        <v>530</v>
      </c>
      <c r="G440" s="3" t="s">
        <v>650</v>
      </c>
      <c r="H440" s="3" t="s">
        <v>658</v>
      </c>
      <c r="I440" s="6" t="s">
        <v>460</v>
      </c>
      <c r="J440" s="5" t="str">
        <f>VLOOKUP(I440,[1]Sayfa1!$A:$C,2,0)</f>
        <v xml:space="preserve">4734 Sayılı Kanun </v>
      </c>
      <c r="K440" s="5" t="str">
        <f>VLOOKUP(I440,[1]Sayfa1!$A:$C,3,0)</f>
        <v>md. 36</v>
      </c>
    </row>
    <row r="441" spans="5:11" ht="43.5" x14ac:dyDescent="0.35">
      <c r="E441" s="3">
        <v>439</v>
      </c>
      <c r="F441" s="3" t="s">
        <v>530</v>
      </c>
      <c r="G441" s="3" t="s">
        <v>650</v>
      </c>
      <c r="H441" s="3" t="s">
        <v>658</v>
      </c>
      <c r="I441" s="12" t="s">
        <v>461</v>
      </c>
      <c r="J441" s="5" t="str">
        <f>VLOOKUP(I441,[1]Sayfa1!$A:$C,2,0)</f>
        <v xml:space="preserve">4735 Sayılı Kanun </v>
      </c>
      <c r="K441" s="5" t="str">
        <f>VLOOKUP(I441,[1]Sayfa1!$A:$C,3,0)</f>
        <v>md. 14</v>
      </c>
    </row>
    <row r="442" spans="5:11" ht="43.5" x14ac:dyDescent="0.35">
      <c r="E442" s="3">
        <v>440</v>
      </c>
      <c r="F442" s="3" t="s">
        <v>530</v>
      </c>
      <c r="G442" s="3" t="s">
        <v>650</v>
      </c>
      <c r="H442" s="3" t="s">
        <v>658</v>
      </c>
      <c r="I442" s="6" t="s">
        <v>462</v>
      </c>
      <c r="J442" s="5" t="str">
        <f>VLOOKUP(I442,[1]Sayfa1!$A:$C,2,0)</f>
        <v>4734 Sayılı Kanun / Teknik Şa</v>
      </c>
      <c r="K442" s="5" t="str">
        <f>VLOOKUP(I442,[1]Sayfa1!$A:$C,3,0)</f>
        <v>şartname</v>
      </c>
    </row>
    <row r="443" spans="5:11" ht="43.5" x14ac:dyDescent="0.35">
      <c r="E443" s="3">
        <v>441</v>
      </c>
      <c r="F443" s="3" t="s">
        <v>530</v>
      </c>
      <c r="G443" s="3" t="s">
        <v>650</v>
      </c>
      <c r="H443" s="3" t="s">
        <v>658</v>
      </c>
      <c r="I443" s="6" t="s">
        <v>463</v>
      </c>
      <c r="J443" s="5" t="str">
        <f>VLOOKUP(I443,[1]Sayfa1!$A:$C,2,0)</f>
        <v>4734 Sayılı Kanun Md.</v>
      </c>
      <c r="K443" s="5" t="str">
        <f>VLOOKUP(I443,[1]Sayfa1!$A:$C,3,0)</f>
        <v>md. 41-42</v>
      </c>
    </row>
    <row r="444" spans="5:11" ht="43.5" x14ac:dyDescent="0.35">
      <c r="E444" s="3">
        <v>442</v>
      </c>
      <c r="F444" s="3" t="s">
        <v>530</v>
      </c>
      <c r="G444" s="3" t="s">
        <v>650</v>
      </c>
      <c r="H444" s="3" t="s">
        <v>658</v>
      </c>
      <c r="I444" s="6" t="s">
        <v>464</v>
      </c>
      <c r="J444" s="5" t="str">
        <f>VLOOKUP(I444,[1]Sayfa1!$A:$C,2,0)</f>
        <v>4734 Sayılı Kanun</v>
      </c>
      <c r="K444" s="5" t="str">
        <f>VLOOKUP(I444,[1]Sayfa1!$A:$C,3,0)</f>
        <v>md. 6</v>
      </c>
    </row>
    <row r="445" spans="5:11" ht="43.5" x14ac:dyDescent="0.35">
      <c r="E445" s="3">
        <v>443</v>
      </c>
      <c r="F445" s="3" t="s">
        <v>530</v>
      </c>
      <c r="G445" s="3" t="s">
        <v>650</v>
      </c>
      <c r="H445" s="3" t="s">
        <v>658</v>
      </c>
      <c r="I445" s="6" t="s">
        <v>465</v>
      </c>
      <c r="J445" s="5" t="str">
        <f>VLOOKUP(I445,[1]Sayfa1!$A:$C,2,0)</f>
        <v>Mal Alımları Denetim Muayene ve Kabul Yön.</v>
      </c>
      <c r="K445" s="5" t="str">
        <f>VLOOKUP(I445,[1]Sayfa1!$A:$C,3,0)</f>
        <v>md. 20</v>
      </c>
    </row>
    <row r="446" spans="5:11" ht="43.5" x14ac:dyDescent="0.35">
      <c r="E446" s="3">
        <v>444</v>
      </c>
      <c r="F446" s="3" t="s">
        <v>530</v>
      </c>
      <c r="G446" s="3" t="s">
        <v>650</v>
      </c>
      <c r="H446" s="3" t="s">
        <v>658</v>
      </c>
      <c r="I446" s="6" t="s">
        <v>466</v>
      </c>
      <c r="J446" s="5" t="str">
        <f>VLOOKUP(I446,[1]Sayfa1!$A:$C,2,0)</f>
        <v>Yapım İşleri İhaleleri Uyg. Yön.</v>
      </c>
      <c r="K446" s="5" t="str">
        <f>VLOOKUP(I446,[1]Sayfa1!$A:$C,3,0)</f>
        <v>md. 9</v>
      </c>
    </row>
    <row r="447" spans="5:11" ht="43.5" x14ac:dyDescent="0.35">
      <c r="E447" s="3">
        <v>445</v>
      </c>
      <c r="F447" s="3" t="s">
        <v>530</v>
      </c>
      <c r="G447" s="3" t="s">
        <v>650</v>
      </c>
      <c r="H447" s="3" t="s">
        <v>658</v>
      </c>
      <c r="I447" s="6" t="s">
        <v>467</v>
      </c>
      <c r="J447" s="5" t="str">
        <f>VLOOKUP(I447,[1]Sayfa1!$A:$C,2,0)</f>
        <v>Mal Alımları Denetim Muayene ve Kabu</v>
      </c>
      <c r="K447" s="5" t="str">
        <f>VLOOKUP(I447,[1]Sayfa1!$A:$C,3,0)</f>
        <v>yön.</v>
      </c>
    </row>
    <row r="448" spans="5:11" ht="43.5" x14ac:dyDescent="0.35">
      <c r="E448" s="3">
        <v>446</v>
      </c>
      <c r="F448" s="3" t="s">
        <v>530</v>
      </c>
      <c r="G448" s="3" t="s">
        <v>650</v>
      </c>
      <c r="H448" s="3" t="s">
        <v>658</v>
      </c>
      <c r="I448" s="6" t="s">
        <v>468</v>
      </c>
      <c r="J448" s="5" t="str">
        <f>VLOOKUP(I448,[1]Sayfa1!$A:$C,2,0)</f>
        <v>4734 Sayılı Kanun</v>
      </c>
      <c r="K448" s="5" t="str">
        <f>VLOOKUP(I448,[1]Sayfa1!$A:$C,3,0)</f>
        <v>md. 7</v>
      </c>
    </row>
    <row r="449" spans="5:11" ht="43.5" x14ac:dyDescent="0.35">
      <c r="E449" s="3">
        <v>447</v>
      </c>
      <c r="F449" s="3" t="s">
        <v>530</v>
      </c>
      <c r="G449" s="3" t="s">
        <v>650</v>
      </c>
      <c r="H449" s="3" t="s">
        <v>658</v>
      </c>
      <c r="I449" s="6" t="s">
        <v>469</v>
      </c>
      <c r="J449" s="5" t="str">
        <f>VLOOKUP(I449,[1]Sayfa1!$A:$C,2,0)</f>
        <v>4735 S.K.</v>
      </c>
      <c r="K449" s="5" t="str">
        <f>VLOOKUP(I449,[1]Sayfa1!$A:$C,3,0)</f>
        <v>md. 16 / kamu ihale genel tebliğ</v>
      </c>
    </row>
    <row r="450" spans="5:11" ht="43.5" x14ac:dyDescent="0.35">
      <c r="E450" s="3">
        <v>448</v>
      </c>
      <c r="F450" s="3" t="s">
        <v>530</v>
      </c>
      <c r="G450" s="3" t="s">
        <v>650</v>
      </c>
      <c r="H450" s="3" t="s">
        <v>658</v>
      </c>
      <c r="I450" s="12" t="s">
        <v>470</v>
      </c>
      <c r="J450" s="5" t="str">
        <f>VLOOKUP(I450,[1]Sayfa1!$A:$C,2,0)</f>
        <v>193 S.K. Md. 42 / 5520 S.K.</v>
      </c>
      <c r="K450" s="5" t="str">
        <f>VLOOKUP(I450,[1]Sayfa1!$A:$C,3,0)</f>
        <v>md. 15</v>
      </c>
    </row>
    <row r="451" spans="5:11" ht="43.5" x14ac:dyDescent="0.35">
      <c r="E451" s="3">
        <v>449</v>
      </c>
      <c r="F451" s="3" t="s">
        <v>530</v>
      </c>
      <c r="G451" s="3" t="s">
        <v>650</v>
      </c>
      <c r="H451" s="3" t="s">
        <v>658</v>
      </c>
      <c r="I451" s="6" t="s">
        <v>471</v>
      </c>
      <c r="J451" s="5" t="str">
        <f>VLOOKUP(I451,[1]Sayfa1!$A:$C,2,0)</f>
        <v xml:space="preserve">4734 Sayılı Kanun </v>
      </c>
      <c r="K451" s="5" t="str">
        <f>VLOOKUP(I451,[1]Sayfa1!$A:$C,3,0)</f>
        <v>md. 12</v>
      </c>
    </row>
    <row r="452" spans="5:11" ht="43.5" x14ac:dyDescent="0.35">
      <c r="E452" s="3">
        <v>450</v>
      </c>
      <c r="F452" s="3" t="s">
        <v>530</v>
      </c>
      <c r="G452" s="3" t="s">
        <v>650</v>
      </c>
      <c r="H452" s="3" t="s">
        <v>658</v>
      </c>
      <c r="I452" s="12" t="s">
        <v>472</v>
      </c>
      <c r="J452" s="5" t="str">
        <f>VLOOKUP(I452,[1]Sayfa1!$A:$C,2,0)</f>
        <v xml:space="preserve">4734 Sayılı Kanun </v>
      </c>
      <c r="K452" s="5" t="str">
        <f>VLOOKUP(I452,[1]Sayfa1!$A:$C,3,0)</f>
        <v>md. 29</v>
      </c>
    </row>
    <row r="453" spans="5:11" ht="43.5" x14ac:dyDescent="0.35">
      <c r="E453" s="3">
        <v>451</v>
      </c>
      <c r="F453" s="3" t="s">
        <v>530</v>
      </c>
      <c r="G453" s="3" t="s">
        <v>650</v>
      </c>
      <c r="H453" s="3" t="s">
        <v>658</v>
      </c>
      <c r="I453" s="6" t="s">
        <v>473</v>
      </c>
      <c r="J453" s="5" t="str">
        <f>VLOOKUP(I453,[1]Sayfa1!$A:$C,2,0)</f>
        <v>4735 S.K. Md. 24 / Yapım İşl. G.Ş.</v>
      </c>
      <c r="K453" s="5" t="str">
        <f>VLOOKUP(I453,[1]Sayfa1!$A:$C,3,0)</f>
        <v>md. 21</v>
      </c>
    </row>
    <row r="454" spans="5:11" ht="43.5" x14ac:dyDescent="0.35">
      <c r="E454" s="3">
        <v>452</v>
      </c>
      <c r="F454" s="3" t="s">
        <v>530</v>
      </c>
      <c r="G454" s="3" t="s">
        <v>650</v>
      </c>
      <c r="H454" s="3" t="s">
        <v>658</v>
      </c>
      <c r="I454" s="6" t="s">
        <v>474</v>
      </c>
      <c r="J454" s="5" t="str">
        <f>VLOOKUP(I454,[1]Sayfa1!$A:$C,2,0)</f>
        <v>Yapım İşleri Genel Şartnamesi M</v>
      </c>
      <c r="K454" s="5" t="str">
        <f>VLOOKUP(I454,[1]Sayfa1!$A:$C,3,0)</f>
        <v>md. 9/5</v>
      </c>
    </row>
    <row r="455" spans="5:11" ht="43.5" x14ac:dyDescent="0.35">
      <c r="E455" s="3">
        <v>453</v>
      </c>
      <c r="F455" s="3" t="s">
        <v>530</v>
      </c>
      <c r="G455" s="3" t="s">
        <v>650</v>
      </c>
      <c r="H455" s="3" t="s">
        <v>658</v>
      </c>
      <c r="I455" s="6" t="s">
        <v>475</v>
      </c>
      <c r="J455" s="5">
        <f>VLOOKUP(I455,[1]Sayfa1!$A:$C,2,0)</f>
        <v>0</v>
      </c>
      <c r="K455" s="5" t="str">
        <f>VLOOKUP(I455,[1]Sayfa1!$A:$C,3,0)</f>
        <v>şartnamesi</v>
      </c>
    </row>
    <row r="456" spans="5:11" ht="43.5" x14ac:dyDescent="0.35">
      <c r="E456" s="3">
        <v>454</v>
      </c>
      <c r="F456" s="3" t="s">
        <v>530</v>
      </c>
      <c r="G456" s="3" t="s">
        <v>650</v>
      </c>
      <c r="H456" s="3" t="s">
        <v>658</v>
      </c>
      <c r="I456" s="6" t="s">
        <v>476</v>
      </c>
      <c r="J456" s="5" t="str">
        <f>VLOOKUP(I456,[1]Sayfa1!$A:$C,2,0)</f>
        <v>İç Kontrol Standartları / Genel Şa</v>
      </c>
      <c r="K456" s="5" t="str">
        <f>VLOOKUP(I456,[1]Sayfa1!$A:$C,3,0)</f>
        <v>şartname</v>
      </c>
    </row>
    <row r="457" spans="5:11" ht="43.5" x14ac:dyDescent="0.35">
      <c r="E457" s="3">
        <v>455</v>
      </c>
      <c r="F457" s="3" t="s">
        <v>530</v>
      </c>
      <c r="G457" s="3" t="s">
        <v>650</v>
      </c>
      <c r="H457" s="3" t="s">
        <v>658</v>
      </c>
      <c r="I457" s="6" t="s">
        <v>477</v>
      </c>
      <c r="J457" s="5" t="str">
        <f>VLOOKUP(I457,[1]Sayfa1!$A:$C,2,0)</f>
        <v>4734 Sayılı Kanun Md. 9 / Uyg. Yön.</v>
      </c>
      <c r="K457" s="5" t="str">
        <f>VLOOKUP(I457,[1]Sayfa1!$A:$C,3,0)</f>
        <v>md. 8</v>
      </c>
    </row>
    <row r="458" spans="5:11" ht="43.5" x14ac:dyDescent="0.35">
      <c r="E458" s="3">
        <v>456</v>
      </c>
      <c r="F458" s="3" t="s">
        <v>530</v>
      </c>
      <c r="G458" s="3" t="s">
        <v>650</v>
      </c>
      <c r="H458" s="3" t="s">
        <v>658</v>
      </c>
      <c r="I458" s="12" t="s">
        <v>478</v>
      </c>
      <c r="J458" s="5" t="str">
        <f>VLOOKUP(I458,[1]Sayfa1!$A:$C,2,0)</f>
        <v>4734 Sayılı Kanun Md. 21 / Uyg. Yön.</v>
      </c>
      <c r="K458" s="5" t="str">
        <f>VLOOKUP(I458,[1]Sayfa1!$A:$C,3,0)</f>
        <v>md. 8</v>
      </c>
    </row>
    <row r="459" spans="5:11" ht="43.5" x14ac:dyDescent="0.35">
      <c r="E459" s="3">
        <v>457</v>
      </c>
      <c r="F459" s="3" t="s">
        <v>530</v>
      </c>
      <c r="G459" s="3" t="s">
        <v>650</v>
      </c>
      <c r="H459" s="3" t="s">
        <v>658</v>
      </c>
      <c r="I459" s="6" t="s">
        <v>479</v>
      </c>
      <c r="J459" s="5" t="str">
        <f>VLOOKUP(I459,[1]Sayfa1!$A:$C,2,0)</f>
        <v>4734 Sayılı Kanun</v>
      </c>
      <c r="K459" s="5" t="str">
        <f>VLOOKUP(I459,[1]Sayfa1!$A:$C,3,0)</f>
        <v>md. 5</v>
      </c>
    </row>
    <row r="460" spans="5:11" ht="43.5" x14ac:dyDescent="0.35">
      <c r="E460" s="3">
        <v>458</v>
      </c>
      <c r="F460" s="3" t="s">
        <v>530</v>
      </c>
      <c r="G460" s="3" t="s">
        <v>650</v>
      </c>
      <c r="H460" s="3" t="s">
        <v>658</v>
      </c>
      <c r="I460" s="12" t="s">
        <v>480</v>
      </c>
      <c r="J460" s="5" t="str">
        <f>VLOOKUP(I460,[1]Sayfa1!$A:$C,2,0)</f>
        <v>4734 Sayılı Kanun Md</v>
      </c>
      <c r="K460" s="5" t="str">
        <f>VLOOKUP(I460,[1]Sayfa1!$A:$C,3,0)</f>
        <v>md. 22/d</v>
      </c>
    </row>
    <row r="461" spans="5:11" ht="43.5" x14ac:dyDescent="0.35">
      <c r="E461" s="3">
        <v>459</v>
      </c>
      <c r="F461" s="3" t="s">
        <v>530</v>
      </c>
      <c r="G461" s="3" t="s">
        <v>650</v>
      </c>
      <c r="H461" s="3" t="s">
        <v>654</v>
      </c>
      <c r="I461" s="12" t="s">
        <v>481</v>
      </c>
      <c r="J461" s="5" t="str">
        <f>VLOOKUP(I461,[1]Sayfa1!$A:$C,2,0)</f>
        <v>Spor Gn. Md. İşletme Yön.</v>
      </c>
      <c r="K461" s="5" t="str">
        <f>VLOOKUP(I461,[1]Sayfa1!$A:$C,3,0)</f>
        <v>md. 7-8</v>
      </c>
    </row>
    <row r="462" spans="5:11" ht="43.5" x14ac:dyDescent="0.35">
      <c r="E462" s="3">
        <v>460</v>
      </c>
      <c r="F462" s="3" t="s">
        <v>530</v>
      </c>
      <c r="G462" s="3" t="s">
        <v>650</v>
      </c>
      <c r="H462" s="3" t="s">
        <v>659</v>
      </c>
      <c r="I462" s="12" t="s">
        <v>482</v>
      </c>
      <c r="J462" s="5" t="str">
        <f>VLOOKUP(I462,[1]Sayfa1!$A:$C,2,0)</f>
        <v>Binaların Yangından Korunması Yön.</v>
      </c>
      <c r="K462" s="5" t="str">
        <f>VLOOKUP(I462,[1]Sayfa1!$A:$C,3,0)</f>
        <v>md. 99</v>
      </c>
    </row>
    <row r="463" spans="5:11" ht="43.5" x14ac:dyDescent="0.35">
      <c r="E463" s="3">
        <v>461</v>
      </c>
      <c r="F463" s="3" t="s">
        <v>530</v>
      </c>
      <c r="G463" s="3" t="s">
        <v>650</v>
      </c>
      <c r="H463" s="3" t="s">
        <v>659</v>
      </c>
      <c r="I463" s="6" t="s">
        <v>483</v>
      </c>
      <c r="J463" s="5" t="str">
        <f>VLOOKUP(I463,[1]Sayfa1!$A:$C,2,0)</f>
        <v>Binaların Yangından Korunması Yön.</v>
      </c>
      <c r="K463" s="5" t="str">
        <f>VLOOKUP(I463,[1]Sayfa1!$A:$C,3,0)</f>
        <v>md. 99/5</v>
      </c>
    </row>
    <row r="464" spans="5:11" ht="43.5" x14ac:dyDescent="0.35">
      <c r="E464" s="3">
        <v>462</v>
      </c>
      <c r="F464" s="3" t="s">
        <v>530</v>
      </c>
      <c r="G464" s="3" t="s">
        <v>650</v>
      </c>
      <c r="H464" s="3" t="s">
        <v>659</v>
      </c>
      <c r="I464" s="6" t="s">
        <v>484</v>
      </c>
      <c r="J464" s="5" t="str">
        <f>VLOOKUP(I464,[1]Sayfa1!$A:$C,2,0)</f>
        <v>Binaların Yangından Korunması Yön.</v>
      </c>
      <c r="K464" s="5" t="str">
        <f>VLOOKUP(I464,[1]Sayfa1!$A:$C,3,0)</f>
        <v>md. 73</v>
      </c>
    </row>
    <row r="465" spans="5:11" ht="43.5" x14ac:dyDescent="0.35">
      <c r="E465" s="3">
        <v>463</v>
      </c>
      <c r="F465" s="3" t="s">
        <v>530</v>
      </c>
      <c r="G465" s="3" t="s">
        <v>650</v>
      </c>
      <c r="H465" s="3" t="s">
        <v>665</v>
      </c>
      <c r="I465" s="12" t="s">
        <v>485</v>
      </c>
      <c r="J465" s="5" t="str">
        <f>VLOOKUP(I465,[1]Sayfa1!$A:$C,2,0)</f>
        <v>Asansör Periyodik Kontrol Yön.</v>
      </c>
      <c r="K465" s="5" t="str">
        <f>VLOOKUP(I465,[1]Sayfa1!$A:$C,3,0)</f>
        <v>md. 9-11</v>
      </c>
    </row>
    <row r="466" spans="5:11" ht="29" x14ac:dyDescent="0.35">
      <c r="E466" s="3">
        <v>464</v>
      </c>
      <c r="F466" s="3" t="s">
        <v>530</v>
      </c>
      <c r="G466" s="3" t="s">
        <v>650</v>
      </c>
      <c r="H466" s="3" t="s">
        <v>659</v>
      </c>
      <c r="I466" s="6" t="s">
        <v>486</v>
      </c>
      <c r="J466" s="5" t="str">
        <f>VLOOKUP(I466,[1]Sayfa1!$A:$C,2,0)</f>
        <v>Binaların Yangından Korunması Yön.</v>
      </c>
      <c r="K466" s="5" t="str">
        <f>VLOOKUP(I466,[1]Sayfa1!$A:$C,3,0)</f>
        <v>md. 47</v>
      </c>
    </row>
    <row r="467" spans="5:11" ht="43.5" x14ac:dyDescent="0.35">
      <c r="E467" s="3">
        <v>465</v>
      </c>
      <c r="F467" s="3" t="s">
        <v>530</v>
      </c>
      <c r="G467" s="3" t="s">
        <v>650</v>
      </c>
      <c r="H467" s="3" t="s">
        <v>666</v>
      </c>
      <c r="I467" s="12" t="s">
        <v>487</v>
      </c>
      <c r="J467" s="5" t="str">
        <f>VLOOKUP(I467,[1]Sayfa1!$A:$C,2,0)</f>
        <v xml:space="preserve">Yangın Önleme ve Söndürme Yönergesi </v>
      </c>
      <c r="K467" s="5" t="str">
        <f>VLOOKUP(I467,[1]Sayfa1!$A:$C,3,0)</f>
        <v>md. 32</v>
      </c>
    </row>
    <row r="468" spans="5:11" ht="43.5" x14ac:dyDescent="0.35">
      <c r="E468" s="3">
        <v>466</v>
      </c>
      <c r="F468" s="3" t="s">
        <v>530</v>
      </c>
      <c r="G468" s="3" t="s">
        <v>650</v>
      </c>
      <c r="H468" s="3" t="s">
        <v>666</v>
      </c>
      <c r="I468" s="6" t="s">
        <v>488</v>
      </c>
      <c r="J468" s="5" t="str">
        <f>VLOOKUP(I468,[1]Sayfa1!$A:$C,2,0)</f>
        <v>Türkiye Bina Deprem Yönetmeliği (2019)</v>
      </c>
      <c r="K468" s="5" t="str">
        <f>VLOOKUP(I468,[1]Sayfa1!$A:$C,3,0)</f>
        <v>yönetmeliği (2019)</v>
      </c>
    </row>
    <row r="469" spans="5:11" ht="43.5" x14ac:dyDescent="0.35">
      <c r="E469" s="3">
        <v>467</v>
      </c>
      <c r="F469" s="3" t="s">
        <v>530</v>
      </c>
      <c r="G469" s="3" t="s">
        <v>669</v>
      </c>
      <c r="H469" s="3" t="s">
        <v>659</v>
      </c>
      <c r="I469" s="12" t="s">
        <v>489</v>
      </c>
      <c r="J469" s="5" t="str">
        <f>VLOOKUP(I469,[1]Sayfa1!$A:$C,2,0)</f>
        <v xml:space="preserve">Yangın Önleme ve Söndürme Yönergesi </v>
      </c>
      <c r="K469" s="5" t="str">
        <f>VLOOKUP(I469,[1]Sayfa1!$A:$C,3,0)</f>
        <v>md. 32</v>
      </c>
    </row>
    <row r="470" spans="5:11" ht="43.5" x14ac:dyDescent="0.35">
      <c r="E470" s="3">
        <v>468</v>
      </c>
      <c r="F470" s="3" t="s">
        <v>530</v>
      </c>
      <c r="G470" s="3" t="s">
        <v>669</v>
      </c>
      <c r="H470" s="3" t="s">
        <v>659</v>
      </c>
      <c r="I470" s="6" t="s">
        <v>490</v>
      </c>
      <c r="J470" s="5" t="str">
        <f>VLOOKUP(I470,[1]Sayfa1!$A:$C,2,0)</f>
        <v>Yangın Önleme ve Söndürme Tal.</v>
      </c>
      <c r="K470" s="5" t="str">
        <f>VLOOKUP(I470,[1]Sayfa1!$A:$C,3,0)</f>
        <v>md. 31/1</v>
      </c>
    </row>
    <row r="471" spans="5:11" ht="43.5" x14ac:dyDescent="0.35">
      <c r="E471" s="3">
        <v>469</v>
      </c>
      <c r="F471" s="3" t="s">
        <v>530</v>
      </c>
      <c r="G471" s="3" t="s">
        <v>669</v>
      </c>
      <c r="H471" s="3" t="s">
        <v>659</v>
      </c>
      <c r="I471" s="12" t="s">
        <v>491</v>
      </c>
      <c r="J471" s="5" t="str">
        <f>VLOOKUP(I471,[1]Sayfa1!$A:$C,2,0)</f>
        <v>İşyerlerinde Acil Durumlar Yön.</v>
      </c>
      <c r="K471" s="5" t="str">
        <f>VLOOKUP(I471,[1]Sayfa1!$A:$C,3,0)</f>
        <v>md. 5-6</v>
      </c>
    </row>
    <row r="472" spans="5:11" ht="43.5" x14ac:dyDescent="0.35">
      <c r="E472" s="3">
        <v>470</v>
      </c>
      <c r="F472" s="3" t="s">
        <v>530</v>
      </c>
      <c r="G472" s="3" t="s">
        <v>669</v>
      </c>
      <c r="H472" s="3" t="s">
        <v>659</v>
      </c>
      <c r="I472" s="6" t="s">
        <v>492</v>
      </c>
      <c r="J472" s="5" t="str">
        <f>VLOOKUP(I472,[1]Sayfa1!$A:$C,2,0)</f>
        <v>Yangın Önleme ve Söndürme Tal.</v>
      </c>
      <c r="K472" s="5" t="str">
        <f>VLOOKUP(I472,[1]Sayfa1!$A:$C,3,0)</f>
        <v>md. 42/1</v>
      </c>
    </row>
    <row r="473" spans="5:11" ht="43.5" x14ac:dyDescent="0.35">
      <c r="E473" s="3">
        <v>471</v>
      </c>
      <c r="F473" s="3" t="s">
        <v>530</v>
      </c>
      <c r="G473" s="3" t="s">
        <v>669</v>
      </c>
      <c r="H473" s="3" t="s">
        <v>659</v>
      </c>
      <c r="I473" s="6" t="s">
        <v>493</v>
      </c>
      <c r="J473" s="5" t="str">
        <f>VLOOKUP(I473,[1]Sayfa1!$A:$C,2,0)</f>
        <v>Binaların Yangından Korunması Yön.</v>
      </c>
      <c r="K473" s="5" t="str">
        <f>VLOOKUP(I473,[1]Sayfa1!$A:$C,3,0)</f>
        <v>md. 100</v>
      </c>
    </row>
    <row r="474" spans="5:11" ht="43.5" x14ac:dyDescent="0.35">
      <c r="E474" s="3">
        <v>472</v>
      </c>
      <c r="F474" s="3" t="s">
        <v>530</v>
      </c>
      <c r="G474" s="3" t="s">
        <v>669</v>
      </c>
      <c r="H474" s="3" t="s">
        <v>659</v>
      </c>
      <c r="I474" s="6" t="s">
        <v>494</v>
      </c>
      <c r="J474" s="5" t="str">
        <f>VLOOKUP(I474,[1]Sayfa1!$A:$C,2,0)</f>
        <v>Yangın Önleme ve Söndürme Yön.</v>
      </c>
      <c r="K474" s="5" t="str">
        <f>VLOOKUP(I474,[1]Sayfa1!$A:$C,3,0)</f>
        <v>md. 63</v>
      </c>
    </row>
    <row r="475" spans="5:11" ht="43.5" x14ac:dyDescent="0.35">
      <c r="E475" s="3">
        <v>473</v>
      </c>
      <c r="F475" s="3" t="s">
        <v>530</v>
      </c>
      <c r="G475" s="3" t="s">
        <v>669</v>
      </c>
      <c r="H475" s="3" t="s">
        <v>665</v>
      </c>
      <c r="I475" s="12" t="s">
        <v>495</v>
      </c>
      <c r="J475" s="5" t="str">
        <f>VLOOKUP(I475,[1]Sayfa1!$A:$C,2,0)</f>
        <v>Asansör İşletme ve Bakım Yön.</v>
      </c>
      <c r="K475" s="5" t="str">
        <f>VLOOKUP(I475,[1]Sayfa1!$A:$C,3,0)</f>
        <v>md. 14</v>
      </c>
    </row>
    <row r="476" spans="5:11" ht="43.5" x14ac:dyDescent="0.35">
      <c r="E476" s="3">
        <v>474</v>
      </c>
      <c r="F476" s="3" t="s">
        <v>530</v>
      </c>
      <c r="G476" s="3" t="s">
        <v>650</v>
      </c>
      <c r="H476" s="3" t="s">
        <v>658</v>
      </c>
      <c r="I476" s="6" t="s">
        <v>496</v>
      </c>
      <c r="J476" s="5" t="str">
        <f>VLOOKUP(I476,[1]Sayfa1!$A:$C,2,0)</f>
        <v>Yapım İşleri Muayene Kabul Yön.</v>
      </c>
      <c r="K476" s="5" t="str">
        <f>VLOOKUP(I476,[1]Sayfa1!$A:$C,3,0)</f>
        <v>md. 12</v>
      </c>
    </row>
    <row r="477" spans="5:11" ht="43.5" x14ac:dyDescent="0.35">
      <c r="E477" s="3">
        <v>475</v>
      </c>
      <c r="F477" s="3" t="s">
        <v>530</v>
      </c>
      <c r="G477" s="3" t="s">
        <v>650</v>
      </c>
      <c r="H477" s="3" t="s">
        <v>658</v>
      </c>
      <c r="I477" s="6" t="s">
        <v>497</v>
      </c>
      <c r="J477" s="5" t="str">
        <f>VLOOKUP(I477,[1]Sayfa1!$A:$C,2,0)</f>
        <v>Yapım İşleri Muayene Kabul Yön.</v>
      </c>
      <c r="K477" s="5" t="str">
        <f>VLOOKUP(I477,[1]Sayfa1!$A:$C,3,0)</f>
        <v>md. 6</v>
      </c>
    </row>
    <row r="478" spans="5:11" ht="43.5" x14ac:dyDescent="0.35">
      <c r="E478" s="3">
        <v>476</v>
      </c>
      <c r="F478" s="3" t="s">
        <v>530</v>
      </c>
      <c r="G478" s="3" t="s">
        <v>650</v>
      </c>
      <c r="H478" s="3" t="s">
        <v>667</v>
      </c>
      <c r="I478" s="12" t="s">
        <v>498</v>
      </c>
      <c r="J478" s="5" t="str">
        <f>VLOOKUP(I478,[1]Sayfa1!$A:$C,2,0)</f>
        <v>Taşınmazların Kaydına İlişkin Yön.</v>
      </c>
      <c r="K478" s="5" t="str">
        <f>VLOOKUP(I478,[1]Sayfa1!$A:$C,3,0)</f>
        <v>md. 5</v>
      </c>
    </row>
    <row r="479" spans="5:11" ht="43.5" x14ac:dyDescent="0.35">
      <c r="E479" s="3">
        <v>477</v>
      </c>
      <c r="F479" s="3" t="s">
        <v>530</v>
      </c>
      <c r="G479" s="3" t="s">
        <v>650</v>
      </c>
      <c r="H479" s="3" t="s">
        <v>667</v>
      </c>
      <c r="I479" s="6" t="s">
        <v>499</v>
      </c>
      <c r="J479" s="5" t="str">
        <f>VLOOKUP(I479,[1]Sayfa1!$A:$C,2,0)</f>
        <v>Taşınmazların Kaydına İlişkin Yön.</v>
      </c>
      <c r="K479" s="5" t="str">
        <f>VLOOKUP(I479,[1]Sayfa1!$A:$C,3,0)</f>
        <v>md. 8-9</v>
      </c>
    </row>
    <row r="480" spans="5:11" ht="43.5" x14ac:dyDescent="0.35">
      <c r="E480" s="3">
        <v>478</v>
      </c>
      <c r="F480" s="3" t="s">
        <v>530</v>
      </c>
      <c r="G480" s="3" t="s">
        <v>650</v>
      </c>
      <c r="H480" s="3" t="s">
        <v>667</v>
      </c>
      <c r="I480" s="6" t="s">
        <v>500</v>
      </c>
      <c r="J480" s="5" t="str">
        <f>VLOOKUP(I480,[1]Sayfa1!$A:$C,2,0)</f>
        <v>Taşınmazların Kaydına İlişkin Yön.</v>
      </c>
      <c r="K480" s="5" t="str">
        <f>VLOOKUP(I480,[1]Sayfa1!$A:$C,3,0)</f>
        <v>md. 10</v>
      </c>
    </row>
    <row r="481" spans="5:11" ht="43.5" x14ac:dyDescent="0.35">
      <c r="E481" s="3">
        <v>479</v>
      </c>
      <c r="F481" s="3" t="s">
        <v>530</v>
      </c>
      <c r="G481" s="3" t="s">
        <v>650</v>
      </c>
      <c r="H481" s="3" t="s">
        <v>667</v>
      </c>
      <c r="I481" s="12" t="s">
        <v>501</v>
      </c>
      <c r="J481" s="5">
        <f>VLOOKUP(I481,[1]Sayfa1!$A:$C,2,0)</f>
        <v>0</v>
      </c>
      <c r="K481" s="5" t="str">
        <f>VLOOKUP(I481,[1]Sayfa1!$A:$C,3,0)</f>
        <v>yönetmeliği</v>
      </c>
    </row>
    <row r="482" spans="5:11" ht="29" x14ac:dyDescent="0.35">
      <c r="E482" s="3">
        <v>480</v>
      </c>
      <c r="F482" s="3" t="s">
        <v>530</v>
      </c>
      <c r="G482" s="3" t="s">
        <v>650</v>
      </c>
      <c r="H482" s="3" t="s">
        <v>667</v>
      </c>
      <c r="I482" s="12" t="s">
        <v>502</v>
      </c>
      <c r="J482" s="5" t="str">
        <f>VLOOKUP(I482,[1]Sayfa1!$A:$C,2,0)</f>
        <v>Taşınmazların Kaydına İlişkin Yön.</v>
      </c>
      <c r="K482" s="5" t="str">
        <f>VLOOKUP(I482,[1]Sayfa1!$A:$C,3,0)</f>
        <v>md. 5</v>
      </c>
    </row>
    <row r="483" spans="5:11" ht="43.5" x14ac:dyDescent="0.35">
      <c r="E483" s="3">
        <v>481</v>
      </c>
      <c r="F483" s="3" t="s">
        <v>530</v>
      </c>
      <c r="G483" s="3" t="s">
        <v>650</v>
      </c>
      <c r="H483" s="3" t="s">
        <v>651</v>
      </c>
      <c r="I483" s="6" t="s">
        <v>503</v>
      </c>
      <c r="J483" s="5" t="str">
        <f>VLOOKUP(I483,[1]Sayfa1!$A:$C,2,0)</f>
        <v>Taşınmazların İdaresi Hakkında Yön.</v>
      </c>
      <c r="K483" s="5" t="str">
        <f>VLOOKUP(I483,[1]Sayfa1!$A:$C,3,0)</f>
        <v>md. 71</v>
      </c>
    </row>
    <row r="484" spans="5:11" ht="43.5" x14ac:dyDescent="0.35">
      <c r="E484" s="3">
        <v>482</v>
      </c>
      <c r="F484" s="3" t="s">
        <v>530</v>
      </c>
      <c r="G484" s="3" t="s">
        <v>650</v>
      </c>
      <c r="H484" s="3" t="s">
        <v>651</v>
      </c>
      <c r="I484" s="6" t="s">
        <v>504</v>
      </c>
      <c r="J484" s="5">
        <f>VLOOKUP(I484,[1]Sayfa1!$A:$C,2,0)</f>
        <v>0</v>
      </c>
      <c r="K484" s="5" t="str">
        <f>VLOOKUP(I484,[1]Sayfa1!$A:$C,3,0)</f>
        <v>yön.</v>
      </c>
    </row>
    <row r="485" spans="5:11" ht="43.5" x14ac:dyDescent="0.35">
      <c r="E485" s="3">
        <v>483</v>
      </c>
      <c r="F485" s="3" t="s">
        <v>530</v>
      </c>
      <c r="G485" s="3" t="s">
        <v>650</v>
      </c>
      <c r="H485" s="3" t="s">
        <v>667</v>
      </c>
      <c r="I485" s="6" t="s">
        <v>505</v>
      </c>
      <c r="J485" s="5" t="str">
        <f>VLOOKUP(I485,[1]Sayfa1!$A:$C,2,0)</f>
        <v>İlgili Protokol Hükümleri / Özel Ş</v>
      </c>
      <c r="K485" s="5" t="str">
        <f>VLOOKUP(I485,[1]Sayfa1!$A:$C,3,0)</f>
        <v>şartlar</v>
      </c>
    </row>
    <row r="486" spans="5:11" ht="43.5" x14ac:dyDescent="0.35">
      <c r="E486" s="3">
        <v>484</v>
      </c>
      <c r="F486" s="3" t="s">
        <v>530</v>
      </c>
      <c r="G486" s="3" t="s">
        <v>650</v>
      </c>
      <c r="H486" s="3" t="s">
        <v>651</v>
      </c>
      <c r="I486" s="12" t="s">
        <v>506</v>
      </c>
      <c r="J486" s="5" t="str">
        <f>VLOOKUP(I486,[1]Sayfa1!$A:$C,2,0)</f>
        <v>Gençlik ve Spor Bakanlığı Yangın ve İşletme Yön</v>
      </c>
      <c r="K486" s="5" t="str">
        <f>VLOOKUP(I486,[1]Sayfa1!$A:$C,3,0)</f>
        <v>yönergesi</v>
      </c>
    </row>
    <row r="487" spans="5:11" ht="43.5" x14ac:dyDescent="0.35">
      <c r="E487" s="3">
        <v>485</v>
      </c>
      <c r="F487" s="3" t="s">
        <v>530</v>
      </c>
      <c r="G487" s="3" t="s">
        <v>650</v>
      </c>
      <c r="H487" s="3" t="s">
        <v>657</v>
      </c>
      <c r="I487" s="6" t="s">
        <v>507</v>
      </c>
      <c r="J487" s="5" t="str">
        <f>VLOOKUP(I487,[1]Sayfa1!$A:$C,2,0)</f>
        <v>657 S.K.</v>
      </c>
      <c r="K487" s="5" t="str">
        <f>VLOOKUP(I487,[1]Sayfa1!$A:$C,3,0)</f>
        <v>md. 152 / 160 seri no'lu tebliğ</v>
      </c>
    </row>
    <row r="488" spans="5:11" ht="43.5" x14ac:dyDescent="0.35">
      <c r="E488" s="3">
        <v>486</v>
      </c>
      <c r="F488" s="3" t="s">
        <v>530</v>
      </c>
      <c r="G488" s="3" t="s">
        <v>650</v>
      </c>
      <c r="H488" s="3" t="s">
        <v>651</v>
      </c>
      <c r="I488" s="6" t="s">
        <v>508</v>
      </c>
      <c r="J488" s="5" t="str">
        <f>VLOOKUP(I488,[1]Sayfa1!$A:$C,2,0)</f>
        <v>3091 Sayılı Kanun / Taşınmazların İdares</v>
      </c>
      <c r="K488" s="5" t="str">
        <f>VLOOKUP(I488,[1]Sayfa1!$A:$C,3,0)</f>
        <v>yön.</v>
      </c>
    </row>
    <row r="489" spans="5:11" ht="43.5" x14ac:dyDescent="0.35">
      <c r="E489" s="3">
        <v>487</v>
      </c>
      <c r="F489" s="3" t="s">
        <v>530</v>
      </c>
      <c r="G489" s="3" t="s">
        <v>650</v>
      </c>
      <c r="H489" s="3" t="s">
        <v>651</v>
      </c>
      <c r="I489" s="6" t="s">
        <v>509</v>
      </c>
      <c r="J489" s="5" t="str">
        <f>VLOOKUP(I489,[1]Sayfa1!$A:$C,2,0)</f>
        <v>Taşınmazların İdaresi Hakkında Yön.</v>
      </c>
      <c r="K489" s="5" t="str">
        <f>VLOOKUP(I489,[1]Sayfa1!$A:$C,3,0)</f>
        <v>hük.</v>
      </c>
    </row>
    <row r="490" spans="5:11" ht="43.5" x14ac:dyDescent="0.35">
      <c r="E490" s="3">
        <v>488</v>
      </c>
      <c r="F490" s="3" t="s">
        <v>530</v>
      </c>
      <c r="G490" s="3" t="s">
        <v>650</v>
      </c>
      <c r="H490" s="3" t="s">
        <v>666</v>
      </c>
      <c r="I490" s="12" t="s">
        <v>510</v>
      </c>
      <c r="J490" s="5" t="str">
        <f>VLOOKUP(I490,[1]Sayfa1!$A:$C,2,0)</f>
        <v>Bakım Onarım Talimatı Md</v>
      </c>
      <c r="K490" s="5" t="str">
        <f>VLOOKUP(I490,[1]Sayfa1!$A:$C,3,0)</f>
        <v>md. 7/13</v>
      </c>
    </row>
    <row r="491" spans="5:11" ht="43.5" x14ac:dyDescent="0.35">
      <c r="E491" s="3">
        <v>489</v>
      </c>
      <c r="F491" s="3" t="s">
        <v>530</v>
      </c>
      <c r="G491" s="3" t="s">
        <v>650</v>
      </c>
      <c r="H491" s="3" t="s">
        <v>666</v>
      </c>
      <c r="I491" s="6" t="s">
        <v>511</v>
      </c>
      <c r="J491" s="5" t="str">
        <f>VLOOKUP(I491,[1]Sayfa1!$A:$C,2,0)</f>
        <v>Bakım Onarım Talimatı Md</v>
      </c>
      <c r="K491" s="5" t="str">
        <f>VLOOKUP(I491,[1]Sayfa1!$A:$C,3,0)</f>
        <v>md. 7/13</v>
      </c>
    </row>
    <row r="492" spans="5:11" ht="43.5" x14ac:dyDescent="0.35">
      <c r="E492" s="3">
        <v>490</v>
      </c>
      <c r="F492" s="3" t="s">
        <v>530</v>
      </c>
      <c r="G492" s="3" t="s">
        <v>650</v>
      </c>
      <c r="H492" s="3" t="s">
        <v>668</v>
      </c>
      <c r="I492" s="6" t="s">
        <v>512</v>
      </c>
      <c r="J492" s="5" t="str">
        <f>VLOOKUP(I492,[1]Sayfa1!$A:$C,2,0)</f>
        <v xml:space="preserve">Özel Protokol Hükümleri / Borçlar </v>
      </c>
      <c r="K492" s="5" t="str">
        <f>VLOOKUP(I492,[1]Sayfa1!$A:$C,3,0)</f>
        <v>kanunu</v>
      </c>
    </row>
    <row r="493" spans="5:11" ht="43.5" x14ac:dyDescent="0.35">
      <c r="E493" s="3">
        <v>491</v>
      </c>
      <c r="F493" s="3" t="s">
        <v>530</v>
      </c>
      <c r="G493" s="3" t="s">
        <v>650</v>
      </c>
      <c r="H493" s="3" t="s">
        <v>668</v>
      </c>
      <c r="I493" s="12" t="s">
        <v>513</v>
      </c>
      <c r="J493" s="5" t="str">
        <f>VLOOKUP(I493,[1]Sayfa1!$A:$C,2,0)</f>
        <v xml:space="preserve">2886 Sayılı Kanun </v>
      </c>
      <c r="K493" s="5" t="str">
        <f>VLOOKUP(I493,[1]Sayfa1!$A:$C,3,0)</f>
        <v>md. 53</v>
      </c>
    </row>
    <row r="494" spans="5:11" ht="43.5" x14ac:dyDescent="0.35">
      <c r="E494" s="3">
        <v>492</v>
      </c>
      <c r="F494" s="3" t="s">
        <v>530</v>
      </c>
      <c r="G494" s="3" t="s">
        <v>650</v>
      </c>
      <c r="H494" s="3" t="s">
        <v>658</v>
      </c>
      <c r="I494" s="6" t="s">
        <v>514</v>
      </c>
      <c r="J494" s="5" t="str">
        <f>VLOOKUP(I494,[1]Sayfa1!$A:$C,2,0)</f>
        <v xml:space="preserve">2886 Sayılı Kanun </v>
      </c>
      <c r="K494" s="5" t="str">
        <f>VLOOKUP(I494,[1]Sayfa1!$A:$C,3,0)</f>
        <v>md. 50</v>
      </c>
    </row>
    <row r="495" spans="5:11" ht="43.5" x14ac:dyDescent="0.35">
      <c r="E495" s="3">
        <v>493</v>
      </c>
      <c r="F495" s="3" t="s">
        <v>530</v>
      </c>
      <c r="G495" s="3" t="s">
        <v>650</v>
      </c>
      <c r="H495" s="3" t="s">
        <v>668</v>
      </c>
      <c r="I495" s="6" t="s">
        <v>515</v>
      </c>
      <c r="J495" s="5" t="str">
        <f>VLOOKUP(I495,[1]Sayfa1!$A:$C,2,0)</f>
        <v>Özel Protokol Hükümleri / 3289 S.</v>
      </c>
      <c r="K495" s="5" t="str">
        <f>VLOOKUP(I495,[1]Sayfa1!$A:$C,3,0)</f>
        <v>k.</v>
      </c>
    </row>
    <row r="496" spans="5:11" ht="43.5" x14ac:dyDescent="0.35">
      <c r="E496" s="3">
        <v>494</v>
      </c>
      <c r="F496" s="3" t="s">
        <v>530</v>
      </c>
      <c r="G496" s="3" t="s">
        <v>650</v>
      </c>
      <c r="H496" s="3" t="s">
        <v>668</v>
      </c>
      <c r="I496" s="6" t="s">
        <v>516</v>
      </c>
      <c r="J496" s="5" t="str">
        <f>VLOOKUP(I496,[1]Sayfa1!$A:$C,2,0)</f>
        <v>Özel Protokol Hükümleri / 2886 S.</v>
      </c>
      <c r="K496" s="5" t="str">
        <f>VLOOKUP(I496,[1]Sayfa1!$A:$C,3,0)</f>
        <v>k.</v>
      </c>
    </row>
    <row r="497" spans="5:11" ht="43.5" x14ac:dyDescent="0.35">
      <c r="E497" s="3">
        <v>495</v>
      </c>
      <c r="F497" s="3" t="s">
        <v>530</v>
      </c>
      <c r="G497" s="3" t="s">
        <v>650</v>
      </c>
      <c r="H497" s="3" t="s">
        <v>651</v>
      </c>
      <c r="I497" s="6" t="s">
        <v>517</v>
      </c>
      <c r="J497" s="5" t="str">
        <f>VLOOKUP(I497,[1]Sayfa1!$A:$C,2,0)</f>
        <v>Borçlar Kanunu / Protokol Hük</v>
      </c>
      <c r="K497" s="5" t="str">
        <f>VLOOKUP(I497,[1]Sayfa1!$A:$C,3,0)</f>
        <v>hükümleri</v>
      </c>
    </row>
    <row r="498" spans="5:11" ht="43.5" x14ac:dyDescent="0.35">
      <c r="E498" s="3">
        <v>496</v>
      </c>
      <c r="F498" s="3" t="s">
        <v>530</v>
      </c>
      <c r="G498" s="3" t="s">
        <v>650</v>
      </c>
      <c r="H498" s="3" t="s">
        <v>656</v>
      </c>
      <c r="I498" s="12" t="s">
        <v>518</v>
      </c>
      <c r="J498" s="5" t="str">
        <f>VLOOKUP(I498,[1]Sayfa1!$A:$C,2,0)</f>
        <v>Sportif Müsb. Has. Dağ. Dair Yön.</v>
      </c>
      <c r="K498" s="5" t="str">
        <f>VLOOKUP(I498,[1]Sayfa1!$A:$C,3,0)</f>
        <v>md. 8</v>
      </c>
    </row>
    <row r="499" spans="5:11" ht="43.5" x14ac:dyDescent="0.35">
      <c r="E499" s="3">
        <v>497</v>
      </c>
      <c r="F499" s="3" t="s">
        <v>530</v>
      </c>
      <c r="G499" s="3" t="s">
        <v>650</v>
      </c>
      <c r="H499" s="3" t="s">
        <v>656</v>
      </c>
      <c r="I499" s="6" t="s">
        <v>519</v>
      </c>
      <c r="J499" s="5" t="str">
        <f>VLOOKUP(I499,[1]Sayfa1!$A:$C,2,0)</f>
        <v>2942 S.K. / 3091 S.K. / Taşınmaz İd.</v>
      </c>
      <c r="K499" s="5" t="str">
        <f>VLOOKUP(I499,[1]Sayfa1!$A:$C,3,0)</f>
        <v>/ taşınmaz id. yön.</v>
      </c>
    </row>
    <row r="500" spans="5:11" ht="43.5" x14ac:dyDescent="0.35">
      <c r="E500" s="3">
        <v>498</v>
      </c>
      <c r="F500" s="3" t="s">
        <v>530</v>
      </c>
      <c r="G500" s="3" t="s">
        <v>650</v>
      </c>
      <c r="H500" s="3" t="s">
        <v>651</v>
      </c>
      <c r="I500" s="6" t="s">
        <v>520</v>
      </c>
      <c r="J500" s="5" t="str">
        <f>VLOOKUP(I500,[1]Sayfa1!$A:$C,2,0)</f>
        <v>Taşınmazların İdaresi Hakkında Yön.</v>
      </c>
      <c r="K500" s="5" t="str">
        <f>VLOOKUP(I500,[1]Sayfa1!$A:$C,3,0)</f>
        <v>md. 75</v>
      </c>
    </row>
    <row r="501" spans="5:11" ht="43.5" x14ac:dyDescent="0.35">
      <c r="E501" s="3">
        <v>499</v>
      </c>
      <c r="F501" s="3" t="s">
        <v>530</v>
      </c>
      <c r="G501" s="3" t="s">
        <v>650</v>
      </c>
      <c r="H501" s="3" t="s">
        <v>668</v>
      </c>
      <c r="I501" s="6" t="s">
        <v>521</v>
      </c>
      <c r="J501" s="5" t="str">
        <f>VLOOKUP(I501,[1]Sayfa1!$A:$C,2,0)</f>
        <v>Yangından Korunma Yön.</v>
      </c>
      <c r="K501" s="5" t="str">
        <f>VLOOKUP(I501,[1]Sayfa1!$A:$C,3,0)</f>
        <v>md. 28 / kurumsal kimlik klavuzu</v>
      </c>
    </row>
    <row r="502" spans="5:11" ht="43.5" x14ac:dyDescent="0.35">
      <c r="E502" s="3">
        <v>500</v>
      </c>
      <c r="F502" s="3" t="s">
        <v>530</v>
      </c>
      <c r="G502" s="3" t="s">
        <v>650</v>
      </c>
      <c r="H502" s="3" t="s">
        <v>667</v>
      </c>
      <c r="I502" s="12" t="s">
        <v>522</v>
      </c>
      <c r="J502" s="5" t="str">
        <f>VLOOKUP(I502,[1]Sayfa1!$A:$C,2,0)</f>
        <v>Taşınmazların İdaresi Hakkında Yön.</v>
      </c>
      <c r="K502" s="5" t="str">
        <f>VLOOKUP(I502,[1]Sayfa1!$A:$C,3,0)</f>
        <v>md. 78</v>
      </c>
    </row>
    <row r="503" spans="5:11" ht="43.5" x14ac:dyDescent="0.35">
      <c r="E503" s="3">
        <v>501</v>
      </c>
      <c r="F503" s="3" t="s">
        <v>530</v>
      </c>
      <c r="G503" s="3" t="s">
        <v>650</v>
      </c>
      <c r="H503" s="3" t="s">
        <v>658</v>
      </c>
      <c r="I503" s="12" t="s">
        <v>523</v>
      </c>
      <c r="J503" s="5" t="str">
        <f>VLOOKUP(I503,[1]Sayfa1!$A:$C,2,0)</f>
        <v>1 Sayılı CBK Md. 187 / İhale Şartna</v>
      </c>
      <c r="K503" s="5" t="str">
        <f>VLOOKUP(I503,[1]Sayfa1!$A:$C,3,0)</f>
        <v>şartnameleri</v>
      </c>
    </row>
    <row r="504" spans="5:11" ht="43.5" x14ac:dyDescent="0.35">
      <c r="E504" s="3">
        <v>502</v>
      </c>
      <c r="F504" s="3" t="s">
        <v>530</v>
      </c>
      <c r="G504" s="3" t="s">
        <v>650</v>
      </c>
      <c r="H504" s="3" t="s">
        <v>651</v>
      </c>
      <c r="I504" s="12" t="s">
        <v>524</v>
      </c>
      <c r="J504" s="5" t="str">
        <f>VLOOKUP(I504,[1]Sayfa1!$A:$C,2,0)</f>
        <v>2886 S.K. Md.</v>
      </c>
      <c r="K504" s="5" t="str">
        <f>VLOOKUP(I504,[1]Sayfa1!$A:$C,3,0)</f>
        <v>75 / tip sözleşme md. 17</v>
      </c>
    </row>
    <row r="505" spans="5:11" ht="43.5" x14ac:dyDescent="0.35">
      <c r="E505" s="3">
        <v>503</v>
      </c>
      <c r="F505" s="3" t="s">
        <v>530</v>
      </c>
      <c r="G505" s="3" t="s">
        <v>650</v>
      </c>
      <c r="H505" s="3" t="s">
        <v>651</v>
      </c>
      <c r="I505" s="6" t="s">
        <v>525</v>
      </c>
      <c r="J505" s="5" t="str">
        <f>VLOOKUP(I505,[1]Sayfa1!$A:$C,2,0)</f>
        <v>Hazine Taşınmazlarının İdaresi Yön.</v>
      </c>
      <c r="K505" s="5" t="str">
        <f>VLOOKUP(I505,[1]Sayfa1!$A:$C,3,0)</f>
        <v>md. 85</v>
      </c>
    </row>
    <row r="506" spans="5:11" ht="43.5" x14ac:dyDescent="0.35">
      <c r="E506" s="3">
        <v>504</v>
      </c>
      <c r="F506" s="3" t="s">
        <v>530</v>
      </c>
      <c r="G506" s="3" t="s">
        <v>650</v>
      </c>
      <c r="H506" s="3" t="s">
        <v>658</v>
      </c>
      <c r="I506" s="6" t="s">
        <v>526</v>
      </c>
      <c r="J506" s="5" t="str">
        <f>VLOOKUP(I506,[1]Sayfa1!$A:$C,2,0)</f>
        <v>4735 S.K. Md. 24 / Yapım İşl. G.Ş.</v>
      </c>
      <c r="K506" s="5" t="str">
        <f>VLOOKUP(I506,[1]Sayfa1!$A:$C,3,0)</f>
        <v>md. 21</v>
      </c>
    </row>
    <row r="507" spans="5:11" ht="43.5" x14ac:dyDescent="0.35">
      <c r="E507" s="3">
        <v>505</v>
      </c>
      <c r="F507" s="3" t="s">
        <v>530</v>
      </c>
      <c r="G507" s="3" t="s">
        <v>650</v>
      </c>
      <c r="H507" s="3" t="s">
        <v>658</v>
      </c>
      <c r="I507" s="6" t="s">
        <v>527</v>
      </c>
      <c r="J507" s="5" t="str">
        <f>VLOOKUP(I507,[1]Sayfa1!$A:$C,2,0)</f>
        <v xml:space="preserve">4734 Sayılı Kanun </v>
      </c>
      <c r="K507" s="5" t="str">
        <f>VLOOKUP(I507,[1]Sayfa1!$A:$C,3,0)</f>
        <v>md. 62</v>
      </c>
    </row>
    <row r="508" spans="5:11" ht="43.5" x14ac:dyDescent="0.35">
      <c r="E508" s="3">
        <v>506</v>
      </c>
      <c r="F508" s="3" t="s">
        <v>530</v>
      </c>
      <c r="G508" s="3" t="s">
        <v>650</v>
      </c>
      <c r="H508" s="3" t="s">
        <v>658</v>
      </c>
      <c r="I508" s="6" t="s">
        <v>528</v>
      </c>
      <c r="J508" s="5" t="str">
        <f>VLOOKUP(I508,[1]Sayfa1!$A:$C,2,0)</f>
        <v>Yapım İşleri Genel Şartnamesi Md</v>
      </c>
      <c r="K508" s="5" t="str">
        <f>VLOOKUP(I508,[1]Sayfa1!$A:$C,3,0)</f>
        <v>md. 19/6</v>
      </c>
    </row>
    <row r="509" spans="5:11" ht="43.5" x14ac:dyDescent="0.35">
      <c r="E509" s="3">
        <v>507</v>
      </c>
      <c r="F509" s="3" t="s">
        <v>530</v>
      </c>
      <c r="G509" s="3" t="s">
        <v>650</v>
      </c>
      <c r="H509" s="3" t="s">
        <v>658</v>
      </c>
      <c r="I509" s="6" t="s">
        <v>529</v>
      </c>
      <c r="J509" s="5" t="str">
        <f>VLOOKUP(I509,[1]Sayfa1!$A:$C,2,0)</f>
        <v>4734 Sayılı Kanun Md</v>
      </c>
      <c r="K509" s="5" t="str">
        <f>VLOOKUP(I509,[1]Sayfa1!$A:$C,3,0)</f>
        <v>md. 62/c</v>
      </c>
    </row>
    <row r="510" spans="5:11" ht="43.5" x14ac:dyDescent="0.35">
      <c r="E510" s="3">
        <v>508</v>
      </c>
      <c r="F510" s="3" t="s">
        <v>560</v>
      </c>
      <c r="G510" s="3" t="s">
        <v>650</v>
      </c>
      <c r="H510" s="3" t="s">
        <v>675</v>
      </c>
      <c r="I510" s="6" t="s">
        <v>531</v>
      </c>
      <c r="J510" s="5" t="str">
        <f>VLOOKUP(I510,[1]Sayfa1!$A:$C,2,0)</f>
        <v>Taşra Teşkilatı Çalışma Usul ve Esas.</v>
      </c>
      <c r="K510" s="5" t="str">
        <f>VLOOKUP(I510,[1]Sayfa1!$A:$C,3,0)</f>
        <v>yön.</v>
      </c>
    </row>
    <row r="511" spans="5:11" ht="43.5" x14ac:dyDescent="0.35">
      <c r="E511" s="3">
        <v>509</v>
      </c>
      <c r="F511" s="3" t="s">
        <v>560</v>
      </c>
      <c r="G511" s="3" t="s">
        <v>650</v>
      </c>
      <c r="H511" s="3" t="s">
        <v>661</v>
      </c>
      <c r="I511" s="12" t="s">
        <v>532</v>
      </c>
      <c r="J511" s="5" t="str">
        <f>VLOOKUP(I511,[1]Sayfa1!$A:$C,2,0)</f>
        <v>Bakanlık Norm Kadro İlke ve Standa</v>
      </c>
      <c r="K511" s="5" t="str">
        <f>VLOOKUP(I511,[1]Sayfa1!$A:$C,3,0)</f>
        <v>standartları</v>
      </c>
    </row>
    <row r="512" spans="5:11" ht="43.5" x14ac:dyDescent="0.35">
      <c r="E512" s="3">
        <v>510</v>
      </c>
      <c r="F512" s="3" t="s">
        <v>560</v>
      </c>
      <c r="G512" s="3" t="s">
        <v>650</v>
      </c>
      <c r="H512" s="3" t="s">
        <v>680</v>
      </c>
      <c r="I512" s="12" t="s">
        <v>533</v>
      </c>
      <c r="J512" s="5" t="str">
        <f>VLOOKUP(I512,[1]Sayfa1!$A:$C,2,0)</f>
        <v>Türkiye Sualtı Sporları Fed.</v>
      </c>
      <c r="K512" s="5" t="str">
        <f>VLOOKUP(I512,[1]Sayfa1!$A:$C,3,0)</f>
        <v>tal.</v>
      </c>
    </row>
    <row r="513" spans="5:11" ht="43.5" x14ac:dyDescent="0.35">
      <c r="E513" s="3">
        <v>511</v>
      </c>
      <c r="F513" s="3" t="s">
        <v>560</v>
      </c>
      <c r="G513" s="3" t="s">
        <v>650</v>
      </c>
      <c r="H513" s="3" t="s">
        <v>674</v>
      </c>
      <c r="I513" s="6" t="s">
        <v>534</v>
      </c>
      <c r="J513" s="5" t="str">
        <f>VLOOKUP(I513,[1]Sayfa1!$A:$C,2,0)</f>
        <v>Taşra Teşkilatı Kuruluş ve Görev Yön.</v>
      </c>
      <c r="K513" s="5" t="str">
        <f>VLOOKUP(I513,[1]Sayfa1!$A:$C,3,0)</f>
        <v>md. 19</v>
      </c>
    </row>
    <row r="514" spans="5:11" ht="43.5" x14ac:dyDescent="0.35">
      <c r="E514" s="3">
        <v>512</v>
      </c>
      <c r="F514" s="3" t="s">
        <v>560</v>
      </c>
      <c r="G514" s="3" t="s">
        <v>650</v>
      </c>
      <c r="H514" s="3" t="s">
        <v>673</v>
      </c>
      <c r="I514" s="12" t="s">
        <v>535</v>
      </c>
      <c r="J514" s="5" t="str">
        <f>VLOOKUP(I514,[1]Sayfa1!$A:$C,2,0)</f>
        <v xml:space="preserve">4857 Sayılı İş Kanunu / Kamu Mali Yön. </v>
      </c>
      <c r="K514" s="5" t="str">
        <f>VLOOKUP(I514,[1]Sayfa1!$A:$C,3,0)</f>
        <v>kanunu</v>
      </c>
    </row>
    <row r="515" spans="5:11" ht="43.5" x14ac:dyDescent="0.35">
      <c r="E515" s="3">
        <v>513</v>
      </c>
      <c r="F515" s="3" t="s">
        <v>560</v>
      </c>
      <c r="G515" s="3" t="s">
        <v>650</v>
      </c>
      <c r="H515" s="3" t="s">
        <v>673</v>
      </c>
      <c r="I515" s="12" t="s">
        <v>536</v>
      </c>
      <c r="J515" s="5" t="str">
        <f>VLOOKUP(I515,[1]Sayfa1!$A:$C,2,0)</f>
        <v>4857 S.K. Md.</v>
      </c>
      <c r="K515" s="5" t="str">
        <f>VLOOKUP(I515,[1]Sayfa1!$A:$C,3,0)</f>
        <v>md. 41-63 / tasarruf tedbirleri gen.</v>
      </c>
    </row>
    <row r="516" spans="5:11" ht="43.5" x14ac:dyDescent="0.35">
      <c r="E516" s="3">
        <v>514</v>
      </c>
      <c r="F516" s="3" t="s">
        <v>560</v>
      </c>
      <c r="G516" s="3" t="s">
        <v>650</v>
      </c>
      <c r="H516" s="3" t="s">
        <v>673</v>
      </c>
      <c r="I516" s="6" t="s">
        <v>537</v>
      </c>
      <c r="J516" s="5" t="str">
        <f>VLOOKUP(I516,[1]Sayfa1!$A:$C,2,0)</f>
        <v>2001/2863 Sayılı BKK / 5018 Sayılı</v>
      </c>
      <c r="K516" s="5" t="str">
        <f>VLOOKUP(I516,[1]Sayfa1!$A:$C,3,0)</f>
        <v>kanun</v>
      </c>
    </row>
    <row r="517" spans="5:11" ht="43.5" x14ac:dyDescent="0.35">
      <c r="E517" s="3">
        <v>515</v>
      </c>
      <c r="F517" s="3" t="s">
        <v>560</v>
      </c>
      <c r="G517" s="3" t="s">
        <v>650</v>
      </c>
      <c r="H517" s="3" t="s">
        <v>673</v>
      </c>
      <c r="I517" s="6" t="s">
        <v>538</v>
      </c>
      <c r="J517" s="5" t="str">
        <f>VLOOKUP(I517,[1]Sayfa1!$A:$C,2,0)</f>
        <v>2001/2863 S.K. Md.</v>
      </c>
      <c r="K517" s="5" t="str">
        <f>VLOOKUP(I517,[1]Sayfa1!$A:$C,3,0)</f>
        <v>md. 5 / tasarruf tedbirleri gen.</v>
      </c>
    </row>
    <row r="518" spans="5:11" ht="43.5" x14ac:dyDescent="0.35">
      <c r="E518" s="3">
        <v>516</v>
      </c>
      <c r="F518" s="3" t="s">
        <v>560</v>
      </c>
      <c r="G518" s="3" t="s">
        <v>650</v>
      </c>
      <c r="H518" s="3" t="s">
        <v>676</v>
      </c>
      <c r="I518" s="6" t="s">
        <v>539</v>
      </c>
      <c r="J518" s="5" t="str">
        <f>VLOOKUP(I518,[1]Sayfa1!$A:$C,2,0)</f>
        <v>Kamu Personeli 2 Seri No’lu Genel T</v>
      </c>
      <c r="K518" s="5" t="str">
        <f>VLOOKUP(I518,[1]Sayfa1!$A:$C,3,0)</f>
        <v>tebliği</v>
      </c>
    </row>
    <row r="519" spans="5:11" ht="43.5" x14ac:dyDescent="0.35">
      <c r="E519" s="3">
        <v>517</v>
      </c>
      <c r="F519" s="3" t="s">
        <v>560</v>
      </c>
      <c r="G519" s="3" t="s">
        <v>650</v>
      </c>
      <c r="H519" s="3" t="s">
        <v>676</v>
      </c>
      <c r="I519" s="6" t="s">
        <v>540</v>
      </c>
      <c r="J519" s="5" t="str">
        <f>VLOOKUP(I519,[1]Sayfa1!$A:$C,2,0)</f>
        <v>Mal Bildiriminde Bulunulması Hak. Yön.</v>
      </c>
      <c r="K519" s="5" t="str">
        <f>VLOOKUP(I519,[1]Sayfa1!$A:$C,3,0)</f>
        <v>md. 15</v>
      </c>
    </row>
    <row r="520" spans="5:11" ht="43.5" x14ac:dyDescent="0.35">
      <c r="E520" s="3">
        <v>518</v>
      </c>
      <c r="F520" s="3" t="s">
        <v>560</v>
      </c>
      <c r="G520" s="3" t="s">
        <v>650</v>
      </c>
      <c r="H520" s="3" t="s">
        <v>676</v>
      </c>
      <c r="I520" s="12" t="s">
        <v>541</v>
      </c>
      <c r="J520" s="5" t="str">
        <f>VLOOKUP(I520,[1]Sayfa1!$A:$C,2,0)</f>
        <v>657 Sayılı Kanun M</v>
      </c>
      <c r="K520" s="5" t="str">
        <f>VLOOKUP(I520,[1]Sayfa1!$A:$C,3,0)</f>
        <v>md. 202</v>
      </c>
    </row>
    <row r="521" spans="5:11" ht="43.5" x14ac:dyDescent="0.35">
      <c r="E521" s="3">
        <v>519</v>
      </c>
      <c r="F521" s="3" t="s">
        <v>560</v>
      </c>
      <c r="G521" s="3" t="s">
        <v>650</v>
      </c>
      <c r="H521" s="3" t="s">
        <v>673</v>
      </c>
      <c r="I521" s="6" t="s">
        <v>542</v>
      </c>
      <c r="J521" s="5" t="str">
        <f>VLOOKUP(I521,[1]Sayfa1!$A:$C,2,0)</f>
        <v>1 Sayılı CBK / PGM Görev Yön</v>
      </c>
      <c r="K521" s="5" t="str">
        <f>VLOOKUP(I521,[1]Sayfa1!$A:$C,3,0)</f>
        <v>yönergesi</v>
      </c>
    </row>
    <row r="522" spans="5:11" ht="43.5" x14ac:dyDescent="0.35">
      <c r="E522" s="3">
        <v>520</v>
      </c>
      <c r="F522" s="3" t="s">
        <v>560</v>
      </c>
      <c r="G522" s="3" t="s">
        <v>650</v>
      </c>
      <c r="H522" s="3" t="s">
        <v>673</v>
      </c>
      <c r="I522" s="6" t="s">
        <v>543</v>
      </c>
      <c r="J522" s="5" t="str">
        <f>VLOOKUP(I522,[1]Sayfa1!$A:$C,2,0)</f>
        <v>Genelge 2021/1 (Taşra Teşkilatı G.Y.T.)</v>
      </c>
      <c r="K522" s="5" t="str">
        <f>VLOOKUP(I522,[1]Sayfa1!$A:$C,3,0)</f>
        <v>t.)</v>
      </c>
    </row>
    <row r="523" spans="5:11" ht="43.5" x14ac:dyDescent="0.35">
      <c r="E523" s="3">
        <v>521</v>
      </c>
      <c r="F523" s="3" t="s">
        <v>560</v>
      </c>
      <c r="G523" s="3" t="s">
        <v>650</v>
      </c>
      <c r="H523" s="3" t="s">
        <v>673</v>
      </c>
      <c r="I523" s="6" t="s">
        <v>544</v>
      </c>
      <c r="J523" s="5" t="str">
        <f>VLOOKUP(I523,[1]Sayfa1!$A:$C,2,0)</f>
        <v>657 Sayılı Kanun / 4857 Sayılı</v>
      </c>
      <c r="K523" s="5" t="str">
        <f>VLOOKUP(I523,[1]Sayfa1!$A:$C,3,0)</f>
        <v>kanun</v>
      </c>
    </row>
    <row r="524" spans="5:11" ht="43.5" x14ac:dyDescent="0.35">
      <c r="E524" s="3">
        <v>522</v>
      </c>
      <c r="F524" s="3" t="s">
        <v>560</v>
      </c>
      <c r="G524" s="3" t="s">
        <v>650</v>
      </c>
      <c r="H524" s="3" t="s">
        <v>675</v>
      </c>
      <c r="I524" s="12" t="s">
        <v>545</v>
      </c>
      <c r="J524" s="5" t="str">
        <f>VLOOKUP(I524,[1]Sayfa1!$A:$C,2,0)</f>
        <v>Bakanlık Norm Kadro İlke ve Standa</v>
      </c>
      <c r="K524" s="5" t="str">
        <f>VLOOKUP(I524,[1]Sayfa1!$A:$C,3,0)</f>
        <v>standartları</v>
      </c>
    </row>
    <row r="525" spans="5:11" ht="43.5" x14ac:dyDescent="0.35">
      <c r="E525" s="3">
        <v>523</v>
      </c>
      <c r="F525" s="3" t="s">
        <v>560</v>
      </c>
      <c r="G525" s="3" t="s">
        <v>650</v>
      </c>
      <c r="H525" s="3" t="s">
        <v>675</v>
      </c>
      <c r="I525" s="6" t="s">
        <v>546</v>
      </c>
      <c r="J525" s="5" t="str">
        <f>VLOOKUP(I525,[1]Sayfa1!$A:$C,2,0)</f>
        <v>375 Sayılı KHK Geçici 23. Md.</v>
      </c>
      <c r="K525" s="5" t="str">
        <f>VLOOKUP(I525,[1]Sayfa1!$A:$C,3,0)</f>
        <v>/ strateji ve bütçe bşk. yazısı</v>
      </c>
    </row>
    <row r="526" spans="5:11" ht="43.5" x14ac:dyDescent="0.35">
      <c r="E526" s="3">
        <v>524</v>
      </c>
      <c r="F526" s="3" t="s">
        <v>560</v>
      </c>
      <c r="G526" s="3" t="s">
        <v>650</v>
      </c>
      <c r="H526" s="3" t="s">
        <v>675</v>
      </c>
      <c r="I526" s="12" t="s">
        <v>547</v>
      </c>
      <c r="J526" s="5" t="str">
        <f>VLOOKUP(I526,[1]Sayfa1!$A:$C,2,0)</f>
        <v>375 Sayılı KHK Geçici 23.</v>
      </c>
      <c r="K526" s="5" t="str">
        <f>VLOOKUP(I526,[1]Sayfa1!$A:$C,3,0)</f>
        <v>md. / 4857 sayılı kanun</v>
      </c>
    </row>
    <row r="527" spans="5:11" ht="43.5" x14ac:dyDescent="0.35">
      <c r="E527" s="3">
        <v>525</v>
      </c>
      <c r="F527" s="3" t="s">
        <v>560</v>
      </c>
      <c r="G527" s="3" t="s">
        <v>650</v>
      </c>
      <c r="H527" s="3" t="s">
        <v>675</v>
      </c>
      <c r="I527" s="12" t="s">
        <v>548</v>
      </c>
      <c r="J527" s="5" t="str">
        <f>VLOOKUP(I527,[1]Sayfa1!$A:$C,2,0)</f>
        <v>Özel Güv. Hiz. Dair Kanun Uyg. Yön.</v>
      </c>
      <c r="K527" s="5" t="str">
        <f>VLOOKUP(I527,[1]Sayfa1!$A:$C,3,0)</f>
        <v>md. 41</v>
      </c>
    </row>
    <row r="528" spans="5:11" ht="43.5" x14ac:dyDescent="0.35">
      <c r="E528" s="3">
        <v>526</v>
      </c>
      <c r="F528" s="3" t="s">
        <v>560</v>
      </c>
      <c r="G528" s="3" t="s">
        <v>650</v>
      </c>
      <c r="H528" s="3" t="s">
        <v>677</v>
      </c>
      <c r="I528" s="12" t="s">
        <v>549</v>
      </c>
      <c r="J528" s="5" t="str">
        <f>VLOOKUP(I528,[1]Sayfa1!$A:$C,2,0)</f>
        <v xml:space="preserve">Devlet Memurları Disiplin Yönetmeliği </v>
      </c>
      <c r="K528" s="5" t="str">
        <f>VLOOKUP(I528,[1]Sayfa1!$A:$C,3,0)</f>
        <v>md. 28</v>
      </c>
    </row>
    <row r="529" spans="5:11" ht="43.5" x14ac:dyDescent="0.35">
      <c r="E529" s="3">
        <v>527</v>
      </c>
      <c r="F529" s="3" t="s">
        <v>560</v>
      </c>
      <c r="G529" s="3" t="s">
        <v>650</v>
      </c>
      <c r="H529" s="3" t="s">
        <v>677</v>
      </c>
      <c r="I529" s="6" t="s">
        <v>550</v>
      </c>
      <c r="J529" s="5" t="str">
        <f>VLOOKUP(I529,[1]Sayfa1!$A:$C,2,0)</f>
        <v>657 Sayılı Kanun M</v>
      </c>
      <c r="K529" s="5" t="str">
        <f>VLOOKUP(I529,[1]Sayfa1!$A:$C,3,0)</f>
        <v>md. 127</v>
      </c>
    </row>
    <row r="530" spans="5:11" ht="58" x14ac:dyDescent="0.35">
      <c r="E530" s="3">
        <v>528</v>
      </c>
      <c r="F530" s="3" t="s">
        <v>560</v>
      </c>
      <c r="G530" s="3" t="s">
        <v>650</v>
      </c>
      <c r="H530" s="3" t="s">
        <v>662</v>
      </c>
      <c r="I530" s="12" t="s">
        <v>551</v>
      </c>
      <c r="J530" s="5" t="str">
        <f>VLOOKUP(I530,[1]Sayfa1!$A:$C,2,0)</f>
        <v>Kılık ve Kıyafet Yönetmeliği / Bakanlık Vizyon B</v>
      </c>
      <c r="K530" s="5" t="str">
        <f>VLOOKUP(I530,[1]Sayfa1!$A:$C,3,0)</f>
        <v>belgesi</v>
      </c>
    </row>
    <row r="531" spans="5:11" ht="43.5" x14ac:dyDescent="0.35">
      <c r="E531" s="3">
        <v>529</v>
      </c>
      <c r="F531" s="3" t="s">
        <v>560</v>
      </c>
      <c r="G531" s="3" t="s">
        <v>650</v>
      </c>
      <c r="H531" s="3" t="s">
        <v>662</v>
      </c>
      <c r="I531" s="6" t="s">
        <v>552</v>
      </c>
      <c r="J531" s="5" t="str">
        <f>VLOOKUP(I531,[1]Sayfa1!$A:$C,2,0)</f>
        <v>657 S.K.</v>
      </c>
      <c r="K531" s="5" t="str">
        <f>VLOOKUP(I531,[1]Sayfa1!$A:$C,3,0)</f>
        <v>/ iş sağlığı ve güv. kanunu</v>
      </c>
    </row>
    <row r="532" spans="5:11" ht="43.5" x14ac:dyDescent="0.35">
      <c r="E532" s="3">
        <v>530</v>
      </c>
      <c r="F532" s="3" t="s">
        <v>560</v>
      </c>
      <c r="G532" s="3" t="s">
        <v>650</v>
      </c>
      <c r="H532" s="3" t="s">
        <v>662</v>
      </c>
      <c r="I532" s="12" t="s">
        <v>553</v>
      </c>
      <c r="J532" s="5" t="str">
        <f>VLOOKUP(I532,[1]Sayfa1!$A:$C,2,0)</f>
        <v>657 S.K.</v>
      </c>
      <c r="K532" s="5" t="str">
        <f>VLOOKUP(I532,[1]Sayfa1!$A:$C,3,0)</f>
        <v>md. 99 / disiplin yönetmeliği</v>
      </c>
    </row>
    <row r="533" spans="5:11" ht="43.5" x14ac:dyDescent="0.35">
      <c r="E533" s="3">
        <v>531</v>
      </c>
      <c r="F533" s="3" t="s">
        <v>560</v>
      </c>
      <c r="G533" s="3" t="s">
        <v>650</v>
      </c>
      <c r="H533" s="3" t="s">
        <v>678</v>
      </c>
      <c r="I533" s="6" t="s">
        <v>554</v>
      </c>
      <c r="J533" s="5" t="str">
        <f>VLOOKUP(I533,[1]Sayfa1!$A:$C,2,0)</f>
        <v>4857 S.K.</v>
      </c>
      <c r="K533" s="5" t="str">
        <f>VLOOKUP(I533,[1]Sayfa1!$A:$C,3,0)</f>
        <v>md. 56-59-103 / tasarruf genelgesi</v>
      </c>
    </row>
    <row r="534" spans="5:11" ht="43.5" x14ac:dyDescent="0.35">
      <c r="E534" s="3">
        <v>532</v>
      </c>
      <c r="F534" s="3" t="s">
        <v>560</v>
      </c>
      <c r="G534" s="3" t="s">
        <v>650</v>
      </c>
      <c r="H534" s="3" t="s">
        <v>675</v>
      </c>
      <c r="I534" s="6" t="s">
        <v>555</v>
      </c>
      <c r="J534" s="5" t="str">
        <f>VLOOKUP(I534,[1]Sayfa1!$A:$C,2,0)</f>
        <v>5018 S.K. Md. 60 / Taşra Teşkilatı Muh.</v>
      </c>
      <c r="K534" s="5" t="str">
        <f>VLOOKUP(I534,[1]Sayfa1!$A:$C,3,0)</f>
        <v>60 / taşra teşkilatı muh. yön.</v>
      </c>
    </row>
    <row r="535" spans="5:11" ht="43.5" x14ac:dyDescent="0.35">
      <c r="E535" s="3">
        <v>533</v>
      </c>
      <c r="F535" s="3" t="s">
        <v>560</v>
      </c>
      <c r="G535" s="3" t="s">
        <v>650</v>
      </c>
      <c r="H535" s="3" t="s">
        <v>662</v>
      </c>
      <c r="I535" s="12" t="s">
        <v>556</v>
      </c>
      <c r="J535" s="5" t="str">
        <f>VLOOKUP(I535,[1]Sayfa1!$A:$C,2,0)</f>
        <v>Türk Borçlar Kanunu M</v>
      </c>
      <c r="K535" s="5" t="str">
        <f>VLOOKUP(I535,[1]Sayfa1!$A:$C,3,0)</f>
        <v>md. 420</v>
      </c>
    </row>
    <row r="536" spans="5:11" ht="58" x14ac:dyDescent="0.35">
      <c r="E536" s="3">
        <v>534</v>
      </c>
      <c r="F536" s="3" t="s">
        <v>560</v>
      </c>
      <c r="G536" s="3" t="s">
        <v>650</v>
      </c>
      <c r="H536" s="3" t="s">
        <v>679</v>
      </c>
      <c r="I536" s="12" t="s">
        <v>557</v>
      </c>
      <c r="J536" s="5" t="str">
        <f>VLOOKUP(I536,[1]Sayfa1!$A:$C,2,0)</f>
        <v>375 Sayılı KHK Geçici 23. Md. Uyg.</v>
      </c>
      <c r="K536" s="5" t="str">
        <f>VLOOKUP(I536,[1]Sayfa1!$A:$C,3,0)</f>
        <v>uyg. usul ve esas.</v>
      </c>
    </row>
    <row r="537" spans="5:11" ht="43.5" x14ac:dyDescent="0.35">
      <c r="E537" s="3">
        <v>535</v>
      </c>
      <c r="F537" s="3" t="s">
        <v>560</v>
      </c>
      <c r="G537" s="3" t="s">
        <v>650</v>
      </c>
      <c r="H537" s="3" t="s">
        <v>675</v>
      </c>
      <c r="I537" s="6" t="s">
        <v>558</v>
      </c>
      <c r="J537" s="5" t="str">
        <f>VLOOKUP(I537,[1]Sayfa1!$A:$C,2,0)</f>
        <v>Bakanlık Norm Kadro İlke ve Standa</v>
      </c>
      <c r="K537" s="5" t="str">
        <f>VLOOKUP(I537,[1]Sayfa1!$A:$C,3,0)</f>
        <v>standartları</v>
      </c>
    </row>
    <row r="538" spans="5:11" ht="43.5" x14ac:dyDescent="0.35">
      <c r="E538" s="3">
        <v>536</v>
      </c>
      <c r="F538" s="3" t="s">
        <v>560</v>
      </c>
      <c r="G538" s="3" t="s">
        <v>650</v>
      </c>
      <c r="H538" s="3" t="s">
        <v>680</v>
      </c>
      <c r="I538" s="6" t="s">
        <v>559</v>
      </c>
      <c r="J538" s="5" t="str">
        <f>VLOOKUP(I538,[1]Sayfa1!$A:$C,2,0)</f>
        <v>Türkiye Sualtı Sporları Fed.</v>
      </c>
      <c r="K538" s="5" t="str">
        <f>VLOOKUP(I538,[1]Sayfa1!$A:$C,3,0)</f>
        <v>tal.</v>
      </c>
    </row>
    <row r="539" spans="5:11" ht="43.5" x14ac:dyDescent="0.35">
      <c r="E539" s="3">
        <v>537</v>
      </c>
      <c r="F539" s="3" t="s">
        <v>572</v>
      </c>
      <c r="G539" s="3" t="s">
        <v>650</v>
      </c>
      <c r="H539" s="3" t="s">
        <v>670</v>
      </c>
      <c r="I539" s="6" t="s">
        <v>561</v>
      </c>
      <c r="J539" s="5">
        <f>VLOOKUP(I539,[1]Sayfa1!$A:$C,2,0)</f>
        <v>0</v>
      </c>
      <c r="K539" s="5" t="str">
        <f>VLOOKUP(I539,[1]Sayfa1!$A:$C,3,0)</f>
        <v>yok</v>
      </c>
    </row>
    <row r="540" spans="5:11" ht="43.5" x14ac:dyDescent="0.35">
      <c r="E540" s="3">
        <v>538</v>
      </c>
      <c r="F540" s="3" t="s">
        <v>572</v>
      </c>
      <c r="G540" s="3" t="s">
        <v>650</v>
      </c>
      <c r="H540" s="3" t="s">
        <v>671</v>
      </c>
      <c r="I540" s="6" t="s">
        <v>562</v>
      </c>
      <c r="J540" s="5">
        <f>VLOOKUP(I540,[1]Sayfa1!$A:$C,2,0)</f>
        <v>0</v>
      </c>
      <c r="K540" s="5" t="str">
        <f>VLOOKUP(I540,[1]Sayfa1!$A:$C,3,0)</f>
        <v>yok</v>
      </c>
    </row>
    <row r="541" spans="5:11" ht="43.5" x14ac:dyDescent="0.35">
      <c r="E541" s="3">
        <v>539</v>
      </c>
      <c r="F541" s="3" t="s">
        <v>572</v>
      </c>
      <c r="G541" s="3" t="s">
        <v>650</v>
      </c>
      <c r="H541" s="3" t="s">
        <v>670</v>
      </c>
      <c r="I541" s="6" t="s">
        <v>563</v>
      </c>
      <c r="J541" s="5">
        <f>VLOOKUP(I541,[1]Sayfa1!$A:$C,2,0)</f>
        <v>0</v>
      </c>
      <c r="K541" s="5" t="str">
        <f>VLOOKUP(I541,[1]Sayfa1!$A:$C,3,0)</f>
        <v>yok</v>
      </c>
    </row>
    <row r="542" spans="5:11" ht="43.5" x14ac:dyDescent="0.35">
      <c r="E542" s="3">
        <v>540</v>
      </c>
      <c r="F542" s="3" t="s">
        <v>572</v>
      </c>
      <c r="G542" s="3" t="s">
        <v>650</v>
      </c>
      <c r="H542" s="3" t="s">
        <v>672</v>
      </c>
      <c r="I542" s="12" t="s">
        <v>564</v>
      </c>
      <c r="J542" s="5">
        <f>VLOOKUP(I542,[1]Sayfa1!$A:$C,2,0)</f>
        <v>0</v>
      </c>
      <c r="K542" s="5" t="str">
        <f>VLOOKUP(I542,[1]Sayfa1!$A:$C,3,0)</f>
        <v>yok</v>
      </c>
    </row>
    <row r="543" spans="5:11" ht="43.5" x14ac:dyDescent="0.35">
      <c r="E543" s="3">
        <v>541</v>
      </c>
      <c r="F543" s="3" t="s">
        <v>572</v>
      </c>
      <c r="G543" s="3" t="s">
        <v>650</v>
      </c>
      <c r="H543" s="3" t="s">
        <v>673</v>
      </c>
      <c r="I543" s="6" t="s">
        <v>565</v>
      </c>
      <c r="J543" s="5">
        <f>VLOOKUP(I543,[1]Sayfa1!$A:$C,2,0)</f>
        <v>0</v>
      </c>
      <c r="K543" s="5" t="str">
        <f>VLOOKUP(I543,[1]Sayfa1!$A:$C,3,0)</f>
        <v>yok</v>
      </c>
    </row>
    <row r="544" spans="5:11" ht="43.5" x14ac:dyDescent="0.35">
      <c r="E544" s="3">
        <v>542</v>
      </c>
      <c r="F544" s="3" t="s">
        <v>572</v>
      </c>
      <c r="G544" s="3" t="s">
        <v>650</v>
      </c>
      <c r="H544" s="3" t="s">
        <v>673</v>
      </c>
      <c r="I544" s="6" t="s">
        <v>566</v>
      </c>
      <c r="J544" s="5">
        <f>VLOOKUP(I544,[1]Sayfa1!$A:$C,2,0)</f>
        <v>0</v>
      </c>
      <c r="K544" s="5" t="str">
        <f>VLOOKUP(I544,[1]Sayfa1!$A:$C,3,0)</f>
        <v>yok</v>
      </c>
    </row>
    <row r="545" spans="5:11" ht="43.5" x14ac:dyDescent="0.35">
      <c r="E545" s="3">
        <v>543</v>
      </c>
      <c r="F545" s="3" t="s">
        <v>572</v>
      </c>
      <c r="G545" s="3" t="s">
        <v>650</v>
      </c>
      <c r="H545" s="3" t="s">
        <v>658</v>
      </c>
      <c r="I545" s="6" t="s">
        <v>567</v>
      </c>
      <c r="J545" s="5">
        <f>VLOOKUP(I545,[1]Sayfa1!$A:$C,2,0)</f>
        <v>0</v>
      </c>
      <c r="K545" s="5" t="str">
        <f>VLOOKUP(I545,[1]Sayfa1!$A:$C,3,0)</f>
        <v>yok</v>
      </c>
    </row>
    <row r="546" spans="5:11" ht="43.5" x14ac:dyDescent="0.35">
      <c r="E546" s="3">
        <v>544</v>
      </c>
      <c r="F546" s="3" t="s">
        <v>572</v>
      </c>
      <c r="G546" s="3" t="s">
        <v>650</v>
      </c>
      <c r="H546" s="3" t="s">
        <v>658</v>
      </c>
      <c r="I546" s="12" t="s">
        <v>568</v>
      </c>
      <c r="J546" s="5">
        <f>VLOOKUP(I546,[1]Sayfa1!$A:$C,2,0)</f>
        <v>0</v>
      </c>
      <c r="K546" s="5" t="str">
        <f>VLOOKUP(I546,[1]Sayfa1!$A:$C,3,0)</f>
        <v>yok</v>
      </c>
    </row>
    <row r="547" spans="5:11" ht="43.5" x14ac:dyDescent="0.35">
      <c r="E547" s="3">
        <v>545</v>
      </c>
      <c r="F547" s="3" t="s">
        <v>572</v>
      </c>
      <c r="G547" s="3" t="s">
        <v>650</v>
      </c>
      <c r="H547" s="3" t="s">
        <v>658</v>
      </c>
      <c r="I547" s="6" t="s">
        <v>569</v>
      </c>
      <c r="J547" s="5">
        <f>VLOOKUP(I547,[1]Sayfa1!$A:$C,2,0)</f>
        <v>0</v>
      </c>
      <c r="K547" s="5" t="str">
        <f>VLOOKUP(I547,[1]Sayfa1!$A:$C,3,0)</f>
        <v>yok</v>
      </c>
    </row>
    <row r="548" spans="5:11" ht="43.5" x14ac:dyDescent="0.35">
      <c r="E548" s="3">
        <v>546</v>
      </c>
      <c r="F548" s="3" t="s">
        <v>572</v>
      </c>
      <c r="G548" s="3" t="s">
        <v>650</v>
      </c>
      <c r="H548" s="3" t="s">
        <v>664</v>
      </c>
      <c r="I548" s="12" t="s">
        <v>570</v>
      </c>
      <c r="J548" s="5">
        <f>VLOOKUP(I548,[1]Sayfa1!$A:$C,2,0)</f>
        <v>0</v>
      </c>
      <c r="K548" s="5" t="str">
        <f>VLOOKUP(I548,[1]Sayfa1!$A:$C,3,0)</f>
        <v>yok</v>
      </c>
    </row>
    <row r="549" spans="5:11" ht="58" x14ac:dyDescent="0.35">
      <c r="E549" s="3">
        <v>547</v>
      </c>
      <c r="F549" s="3" t="s">
        <v>572</v>
      </c>
      <c r="G549" s="3" t="s">
        <v>650</v>
      </c>
      <c r="H549" s="3" t="s">
        <v>673</v>
      </c>
      <c r="I549" s="6" t="s">
        <v>571</v>
      </c>
      <c r="J549" s="5">
        <f>VLOOKUP(I549,[1]Sayfa1!$A:$C,2,0)</f>
        <v>0</v>
      </c>
      <c r="K549" s="5" t="str">
        <f>VLOOKUP(I549,[1]Sayfa1!$A:$C,3,0)</f>
        <v>yok</v>
      </c>
    </row>
  </sheetData>
  <conditionalFormatting sqref="L3:L1048576">
    <cfRule type="cellIs" dxfId="10" priority="1" operator="equal">
      <formula>"Tekrar Bakılacak"</formula>
    </cfRule>
    <cfRule type="cellIs" dxfId="9" priority="2" operator="equal">
      <formula>"Teftiş Raporuna Konu Edildi"</formula>
    </cfRule>
    <cfRule type="cellIs" dxfId="8" priority="3" operator="equal">
      <formula>"Uygun"</formula>
    </cfRule>
  </conditionalFormatting>
  <conditionalFormatting sqref="N1:N1048576">
    <cfRule type="cellIs" dxfId="7" priority="4" operator="equal">
      <formula>"Çok Düşük"</formula>
    </cfRule>
    <cfRule type="cellIs" dxfId="6" priority="5" operator="equal">
      <formula>"Düşük"</formula>
    </cfRule>
    <cfRule type="cellIs" dxfId="5" priority="6" operator="equal">
      <formula>"Orta"</formula>
    </cfRule>
    <cfRule type="cellIs" dxfId="4" priority="7" operator="equal">
      <formula>"Yüksek"</formula>
    </cfRule>
  </conditionalFormatting>
  <conditionalFormatting sqref="N3:N1048576">
    <cfRule type="cellIs" dxfId="3" priority="8" operator="equal">
      <formula>"Yüksek"</formula>
    </cfRule>
    <cfRule type="cellIs" dxfId="2" priority="9" operator="equal">
      <formula>"Çok Yüksek"</formula>
    </cfRule>
  </conditionalFormatting>
  <dataValidations disablePrompts="1" count="2">
    <dataValidation type="list" allowBlank="1" showInputMessage="1" showErrorMessage="1" sqref="N3:N1048576">
      <formula1>"Çok Yüksek,Yüksek,Orta,Düşük,Çok Düşük"</formula1>
    </dataValidation>
    <dataValidation type="list" allowBlank="1" showInputMessage="1" showErrorMessage="1" sqref="L3:L1048576">
      <formula1>"Uygun,Teftiş Raporuna Konu Edildi,Tekrar Bakılacak"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2:H78"/>
  <sheetViews>
    <sheetView workbookViewId="0">
      <selection activeCell="G3" sqref="G3"/>
    </sheetView>
  </sheetViews>
  <sheetFormatPr defaultRowHeight="15.5" x14ac:dyDescent="0.35"/>
  <cols>
    <col min="1" max="3" width="8.7265625" style="1"/>
    <col min="4" max="4" width="8.7265625" style="2"/>
    <col min="5" max="5" width="7.90625" style="3" bestFit="1" customWidth="1"/>
    <col min="6" max="6" width="42.81640625" style="3" bestFit="1" customWidth="1"/>
    <col min="7" max="7" width="14.453125" style="3" bestFit="1" customWidth="1"/>
    <col min="8" max="8" width="210.6328125" style="2" bestFit="1" customWidth="1"/>
    <col min="9" max="16384" width="8.7265625" style="2"/>
  </cols>
  <sheetData>
    <row r="2" spans="5:8" x14ac:dyDescent="0.35">
      <c r="E2" s="4" t="s">
        <v>0</v>
      </c>
      <c r="F2" s="4" t="s">
        <v>13</v>
      </c>
      <c r="G2" s="4" t="s">
        <v>13</v>
      </c>
      <c r="H2" s="4" t="s">
        <v>14</v>
      </c>
    </row>
    <row r="3" spans="5:8" x14ac:dyDescent="0.35">
      <c r="E3" s="3">
        <v>1</v>
      </c>
      <c r="F3" s="3" t="s">
        <v>575</v>
      </c>
      <c r="G3" s="9" t="str">
        <f>IF(LEFT(H3,3)="htt",HYPERLINK(H3,"mevzuata git"),"mevcut link yok")</f>
        <v>mevzuata git</v>
      </c>
      <c r="H3" s="3" t="s">
        <v>743</v>
      </c>
    </row>
    <row r="4" spans="5:8" x14ac:dyDescent="0.35">
      <c r="E4" s="3">
        <v>2</v>
      </c>
      <c r="F4" s="3" t="s">
        <v>576</v>
      </c>
      <c r="G4" s="9" t="str">
        <f t="shared" ref="G4:G67" si="0">IF(LEFT(H4,3)="htt",HYPERLINK(H4,"mevzuata git"),"mevcut link yok")</f>
        <v>mevcut link yok</v>
      </c>
      <c r="H4" s="3"/>
    </row>
    <row r="5" spans="5:8" x14ac:dyDescent="0.35">
      <c r="E5" s="3">
        <v>3</v>
      </c>
      <c r="F5" s="3" t="s">
        <v>577</v>
      </c>
      <c r="G5" s="9" t="str">
        <f t="shared" si="0"/>
        <v>mevzuata git</v>
      </c>
      <c r="H5" s="3" t="s">
        <v>744</v>
      </c>
    </row>
    <row r="6" spans="5:8" x14ac:dyDescent="0.35">
      <c r="E6" s="3">
        <v>4</v>
      </c>
      <c r="F6" s="3" t="s">
        <v>578</v>
      </c>
      <c r="G6" s="9" t="str">
        <f t="shared" si="0"/>
        <v>mevzuata git</v>
      </c>
      <c r="H6" s="3" t="s">
        <v>745</v>
      </c>
    </row>
    <row r="7" spans="5:8" x14ac:dyDescent="0.35">
      <c r="E7" s="3">
        <v>5</v>
      </c>
      <c r="F7" s="3" t="s">
        <v>579</v>
      </c>
      <c r="G7" s="9" t="str">
        <f t="shared" si="0"/>
        <v>mevzuata git</v>
      </c>
      <c r="H7" s="3" t="s">
        <v>746</v>
      </c>
    </row>
    <row r="8" spans="5:8" x14ac:dyDescent="0.35">
      <c r="E8" s="3">
        <v>6</v>
      </c>
      <c r="F8" s="3" t="s">
        <v>580</v>
      </c>
      <c r="G8" s="9" t="str">
        <f t="shared" si="0"/>
        <v>mevzuata git</v>
      </c>
      <c r="H8" s="3" t="s">
        <v>747</v>
      </c>
    </row>
    <row r="9" spans="5:8" x14ac:dyDescent="0.35">
      <c r="E9" s="3">
        <v>7</v>
      </c>
      <c r="F9" s="3" t="s">
        <v>581</v>
      </c>
      <c r="G9" s="9" t="str">
        <f t="shared" si="0"/>
        <v>mevzuata git</v>
      </c>
      <c r="H9" s="3" t="s">
        <v>748</v>
      </c>
    </row>
    <row r="10" spans="5:8" x14ac:dyDescent="0.35">
      <c r="E10" s="3">
        <v>8</v>
      </c>
      <c r="F10" s="3" t="s">
        <v>582</v>
      </c>
      <c r="G10" s="9" t="str">
        <f t="shared" si="0"/>
        <v>mevzuata git</v>
      </c>
      <c r="H10" s="3" t="s">
        <v>749</v>
      </c>
    </row>
    <row r="11" spans="5:8" x14ac:dyDescent="0.35">
      <c r="E11" s="3">
        <v>9</v>
      </c>
      <c r="F11" s="3" t="s">
        <v>583</v>
      </c>
      <c r="G11" s="9" t="str">
        <f t="shared" si="0"/>
        <v>mevcut link yok</v>
      </c>
      <c r="H11" s="3"/>
    </row>
    <row r="12" spans="5:8" x14ac:dyDescent="0.35">
      <c r="E12" s="3">
        <v>10</v>
      </c>
      <c r="F12" s="3" t="s">
        <v>584</v>
      </c>
      <c r="G12" s="9" t="str">
        <f t="shared" si="0"/>
        <v>mevcut link yok</v>
      </c>
      <c r="H12" s="3"/>
    </row>
    <row r="13" spans="5:8" x14ac:dyDescent="0.35">
      <c r="E13" s="3">
        <v>11</v>
      </c>
      <c r="F13" s="3" t="s">
        <v>585</v>
      </c>
      <c r="G13" s="9" t="str">
        <f t="shared" si="0"/>
        <v>mevcut link yok</v>
      </c>
      <c r="H13" s="3"/>
    </row>
    <row r="14" spans="5:8" x14ac:dyDescent="0.35">
      <c r="E14" s="3">
        <v>12</v>
      </c>
      <c r="F14" s="3" t="s">
        <v>586</v>
      </c>
      <c r="G14" s="9" t="str">
        <f t="shared" si="0"/>
        <v>mevcut link yok</v>
      </c>
      <c r="H14" s="3"/>
    </row>
    <row r="15" spans="5:8" x14ac:dyDescent="0.35">
      <c r="E15" s="3">
        <v>13</v>
      </c>
      <c r="F15" s="3" t="s">
        <v>587</v>
      </c>
      <c r="G15" s="9" t="str">
        <f t="shared" si="0"/>
        <v>mevzuata git</v>
      </c>
      <c r="H15" s="3" t="s">
        <v>750</v>
      </c>
    </row>
    <row r="16" spans="5:8" x14ac:dyDescent="0.35">
      <c r="E16" s="3">
        <v>14</v>
      </c>
      <c r="F16" s="3" t="s">
        <v>588</v>
      </c>
      <c r="G16" s="9" t="str">
        <f t="shared" si="0"/>
        <v>mevzuata git</v>
      </c>
      <c r="H16" s="3" t="s">
        <v>751</v>
      </c>
    </row>
    <row r="17" spans="5:8" x14ac:dyDescent="0.35">
      <c r="E17" s="3">
        <v>15</v>
      </c>
      <c r="F17" s="3" t="s">
        <v>589</v>
      </c>
      <c r="G17" s="9" t="str">
        <f t="shared" si="0"/>
        <v>mevzuata git</v>
      </c>
      <c r="H17" s="3" t="s">
        <v>752</v>
      </c>
    </row>
    <row r="18" spans="5:8" x14ac:dyDescent="0.35">
      <c r="E18" s="3">
        <v>16</v>
      </c>
      <c r="F18" s="3" t="s">
        <v>590</v>
      </c>
      <c r="G18" s="9" t="str">
        <f t="shared" si="0"/>
        <v>mevzuata git</v>
      </c>
      <c r="H18" s="3" t="s">
        <v>753</v>
      </c>
    </row>
    <row r="19" spans="5:8" x14ac:dyDescent="0.35">
      <c r="E19" s="3">
        <v>17</v>
      </c>
      <c r="F19" s="3" t="s">
        <v>591</v>
      </c>
      <c r="G19" s="9" t="str">
        <f t="shared" si="0"/>
        <v>mevzuata git</v>
      </c>
      <c r="H19" s="3" t="s">
        <v>754</v>
      </c>
    </row>
    <row r="20" spans="5:8" x14ac:dyDescent="0.35">
      <c r="E20" s="3">
        <v>18</v>
      </c>
      <c r="F20" s="3" t="s">
        <v>592</v>
      </c>
      <c r="G20" s="9" t="str">
        <f t="shared" si="0"/>
        <v>mevzuata git</v>
      </c>
      <c r="H20" s="3" t="s">
        <v>755</v>
      </c>
    </row>
    <row r="21" spans="5:8" x14ac:dyDescent="0.35">
      <c r="E21" s="3">
        <v>19</v>
      </c>
      <c r="F21" s="3" t="s">
        <v>593</v>
      </c>
      <c r="G21" s="9" t="str">
        <f t="shared" si="0"/>
        <v>mevzuata git</v>
      </c>
      <c r="H21" s="3" t="s">
        <v>756</v>
      </c>
    </row>
    <row r="22" spans="5:8" x14ac:dyDescent="0.35">
      <c r="E22" s="3">
        <v>20</v>
      </c>
      <c r="F22" s="3" t="s">
        <v>594</v>
      </c>
      <c r="G22" s="9" t="str">
        <f t="shared" si="0"/>
        <v>mevzuata git</v>
      </c>
      <c r="H22" s="3" t="s">
        <v>757</v>
      </c>
    </row>
    <row r="23" spans="5:8" x14ac:dyDescent="0.35">
      <c r="E23" s="3">
        <v>21</v>
      </c>
      <c r="F23" s="3" t="s">
        <v>595</v>
      </c>
      <c r="G23" s="9" t="str">
        <f t="shared" si="0"/>
        <v>mevzuata git</v>
      </c>
      <c r="H23" s="3" t="s">
        <v>758</v>
      </c>
    </row>
    <row r="24" spans="5:8" x14ac:dyDescent="0.35">
      <c r="E24" s="3">
        <v>22</v>
      </c>
      <c r="F24" s="3" t="s">
        <v>596</v>
      </c>
      <c r="G24" s="9" t="str">
        <f t="shared" si="0"/>
        <v>mevzuata git</v>
      </c>
      <c r="H24" s="3" t="s">
        <v>759</v>
      </c>
    </row>
    <row r="25" spans="5:8" x14ac:dyDescent="0.35">
      <c r="E25" s="3">
        <v>23</v>
      </c>
      <c r="F25" s="3" t="s">
        <v>597</v>
      </c>
      <c r="G25" s="9" t="str">
        <f t="shared" si="0"/>
        <v>mevzuata git</v>
      </c>
      <c r="H25" s="3" t="s">
        <v>760</v>
      </c>
    </row>
    <row r="26" spans="5:8" x14ac:dyDescent="0.35">
      <c r="E26" s="3">
        <v>24</v>
      </c>
      <c r="F26" s="3" t="s">
        <v>598</v>
      </c>
      <c r="G26" s="9" t="str">
        <f t="shared" si="0"/>
        <v>mevzuata git</v>
      </c>
      <c r="H26" s="3" t="s">
        <v>761</v>
      </c>
    </row>
    <row r="27" spans="5:8" x14ac:dyDescent="0.35">
      <c r="E27" s="3">
        <v>25</v>
      </c>
      <c r="F27" s="3" t="s">
        <v>599</v>
      </c>
      <c r="G27" s="9" t="str">
        <f t="shared" si="0"/>
        <v>mevzuata git</v>
      </c>
      <c r="H27" s="3" t="s">
        <v>762</v>
      </c>
    </row>
    <row r="28" spans="5:8" x14ac:dyDescent="0.35">
      <c r="E28" s="3">
        <v>26</v>
      </c>
      <c r="F28" s="3" t="s">
        <v>600</v>
      </c>
      <c r="G28" s="9" t="str">
        <f t="shared" si="0"/>
        <v>mevzuata git</v>
      </c>
      <c r="H28" s="3" t="s">
        <v>763</v>
      </c>
    </row>
    <row r="29" spans="5:8" x14ac:dyDescent="0.35">
      <c r="E29" s="3">
        <v>27</v>
      </c>
      <c r="F29" s="3" t="s">
        <v>601</v>
      </c>
      <c r="G29" s="9" t="str">
        <f t="shared" si="0"/>
        <v>mevzuata git</v>
      </c>
      <c r="H29" s="3" t="s">
        <v>764</v>
      </c>
    </row>
    <row r="30" spans="5:8" x14ac:dyDescent="0.35">
      <c r="E30" s="3">
        <v>28</v>
      </c>
      <c r="F30" s="3" t="s">
        <v>602</v>
      </c>
      <c r="G30" s="9" t="str">
        <f t="shared" si="0"/>
        <v>mevzuata git</v>
      </c>
      <c r="H30" s="3" t="s">
        <v>765</v>
      </c>
    </row>
    <row r="31" spans="5:8" x14ac:dyDescent="0.35">
      <c r="E31" s="3">
        <v>29</v>
      </c>
      <c r="F31" s="3" t="s">
        <v>603</v>
      </c>
      <c r="G31" s="9" t="str">
        <f t="shared" si="0"/>
        <v>mevzuata git</v>
      </c>
      <c r="H31" s="3" t="s">
        <v>766</v>
      </c>
    </row>
    <row r="32" spans="5:8" x14ac:dyDescent="0.35">
      <c r="E32" s="3">
        <v>30</v>
      </c>
      <c r="F32" s="3" t="s">
        <v>604</v>
      </c>
      <c r="G32" s="9" t="str">
        <f t="shared" si="0"/>
        <v>mevzuata git</v>
      </c>
      <c r="H32" s="3" t="s">
        <v>767</v>
      </c>
    </row>
    <row r="33" spans="5:8" x14ac:dyDescent="0.35">
      <c r="E33" s="3">
        <v>31</v>
      </c>
      <c r="F33" s="3" t="s">
        <v>605</v>
      </c>
      <c r="G33" s="9" t="str">
        <f t="shared" si="0"/>
        <v>mevzuata git</v>
      </c>
      <c r="H33" s="3" t="s">
        <v>768</v>
      </c>
    </row>
    <row r="34" spans="5:8" x14ac:dyDescent="0.35">
      <c r="E34" s="3">
        <v>32</v>
      </c>
      <c r="F34" s="3" t="s">
        <v>606</v>
      </c>
      <c r="G34" s="9" t="str">
        <f t="shared" si="0"/>
        <v>mevzuata git</v>
      </c>
      <c r="H34" s="3" t="s">
        <v>769</v>
      </c>
    </row>
    <row r="35" spans="5:8" x14ac:dyDescent="0.35">
      <c r="E35" s="3">
        <v>33</v>
      </c>
      <c r="F35" s="3" t="s">
        <v>577</v>
      </c>
      <c r="G35" s="9" t="str">
        <f t="shared" si="0"/>
        <v>mevzuata git</v>
      </c>
      <c r="H35" s="3" t="s">
        <v>744</v>
      </c>
    </row>
    <row r="36" spans="5:8" x14ac:dyDescent="0.35">
      <c r="E36" s="3">
        <v>34</v>
      </c>
      <c r="F36" s="3" t="s">
        <v>607</v>
      </c>
      <c r="G36" s="9" t="str">
        <f t="shared" si="0"/>
        <v>mevzuata git</v>
      </c>
      <c r="H36" s="3" t="s">
        <v>770</v>
      </c>
    </row>
    <row r="37" spans="5:8" x14ac:dyDescent="0.35">
      <c r="E37" s="3">
        <v>35</v>
      </c>
      <c r="F37" s="3" t="s">
        <v>608</v>
      </c>
      <c r="G37" s="9" t="str">
        <f t="shared" si="0"/>
        <v>mevcut link yok</v>
      </c>
      <c r="H37" s="3"/>
    </row>
    <row r="38" spans="5:8" x14ac:dyDescent="0.35">
      <c r="E38" s="3">
        <v>36</v>
      </c>
      <c r="F38" s="3" t="s">
        <v>609</v>
      </c>
      <c r="G38" s="9" t="str">
        <f t="shared" si="0"/>
        <v>mevzuata git</v>
      </c>
      <c r="H38" s="3" t="s">
        <v>771</v>
      </c>
    </row>
    <row r="39" spans="5:8" x14ac:dyDescent="0.35">
      <c r="E39" s="3">
        <v>37</v>
      </c>
      <c r="F39" s="3" t="s">
        <v>610</v>
      </c>
      <c r="G39" s="9" t="str">
        <f t="shared" si="0"/>
        <v>mevcut link yok</v>
      </c>
      <c r="H39" s="3"/>
    </row>
    <row r="40" spans="5:8" x14ac:dyDescent="0.35">
      <c r="E40" s="3">
        <v>38</v>
      </c>
      <c r="F40" s="3" t="s">
        <v>611</v>
      </c>
      <c r="G40" s="9" t="str">
        <f t="shared" si="0"/>
        <v>mevzuata git</v>
      </c>
      <c r="H40" s="3" t="s">
        <v>772</v>
      </c>
    </row>
    <row r="41" spans="5:8" x14ac:dyDescent="0.35">
      <c r="E41" s="3">
        <v>39</v>
      </c>
      <c r="F41" s="3" t="s">
        <v>612</v>
      </c>
      <c r="G41" s="9" t="str">
        <f t="shared" si="0"/>
        <v>mevzuata git</v>
      </c>
      <c r="H41" s="3" t="s">
        <v>773</v>
      </c>
    </row>
    <row r="42" spans="5:8" x14ac:dyDescent="0.35">
      <c r="E42" s="3">
        <v>40</v>
      </c>
      <c r="F42" s="3" t="s">
        <v>613</v>
      </c>
      <c r="G42" s="9" t="str">
        <f t="shared" si="0"/>
        <v>mevzuata git</v>
      </c>
      <c r="H42" s="3" t="s">
        <v>774</v>
      </c>
    </row>
    <row r="43" spans="5:8" x14ac:dyDescent="0.35">
      <c r="E43" s="3">
        <v>41</v>
      </c>
      <c r="F43" s="3" t="s">
        <v>614</v>
      </c>
      <c r="G43" s="9" t="str">
        <f t="shared" si="0"/>
        <v>mevzuata git</v>
      </c>
      <c r="H43" s="3" t="s">
        <v>775</v>
      </c>
    </row>
    <row r="44" spans="5:8" x14ac:dyDescent="0.35">
      <c r="E44" s="3">
        <v>42</v>
      </c>
      <c r="F44" s="3" t="s">
        <v>615</v>
      </c>
      <c r="G44" s="9" t="str">
        <f t="shared" si="0"/>
        <v>mevzuata git</v>
      </c>
      <c r="H44" s="3" t="s">
        <v>776</v>
      </c>
    </row>
    <row r="45" spans="5:8" x14ac:dyDescent="0.35">
      <c r="E45" s="3">
        <v>43</v>
      </c>
      <c r="F45" s="3" t="s">
        <v>616</v>
      </c>
      <c r="G45" s="9" t="str">
        <f t="shared" si="0"/>
        <v>mevzuata git</v>
      </c>
      <c r="H45" s="3" t="s">
        <v>777</v>
      </c>
    </row>
    <row r="46" spans="5:8" x14ac:dyDescent="0.35">
      <c r="E46" s="3">
        <v>44</v>
      </c>
      <c r="F46" s="3" t="s">
        <v>617</v>
      </c>
      <c r="G46" s="9" t="str">
        <f t="shared" si="0"/>
        <v>mevzuata git</v>
      </c>
      <c r="H46" s="3" t="s">
        <v>778</v>
      </c>
    </row>
    <row r="47" spans="5:8" x14ac:dyDescent="0.35">
      <c r="E47" s="3">
        <v>45</v>
      </c>
      <c r="F47" s="3" t="s">
        <v>618</v>
      </c>
      <c r="G47" s="9" t="str">
        <f t="shared" si="0"/>
        <v>mevzuata git</v>
      </c>
      <c r="H47" s="3" t="s">
        <v>779</v>
      </c>
    </row>
    <row r="48" spans="5:8" x14ac:dyDescent="0.35">
      <c r="E48" s="3">
        <v>46</v>
      </c>
      <c r="F48" s="3" t="s">
        <v>619</v>
      </c>
      <c r="G48" s="9" t="str">
        <f t="shared" si="0"/>
        <v>mevzuata git</v>
      </c>
      <c r="H48" s="3" t="s">
        <v>780</v>
      </c>
    </row>
    <row r="49" spans="5:8" x14ac:dyDescent="0.35">
      <c r="E49" s="3">
        <v>47</v>
      </c>
      <c r="F49" s="3" t="s">
        <v>620</v>
      </c>
      <c r="G49" s="9" t="str">
        <f t="shared" si="0"/>
        <v>mevzuata git</v>
      </c>
      <c r="H49" s="3" t="s">
        <v>781</v>
      </c>
    </row>
    <row r="50" spans="5:8" x14ac:dyDescent="0.35">
      <c r="E50" s="3">
        <v>48</v>
      </c>
      <c r="F50" s="3" t="s">
        <v>621</v>
      </c>
      <c r="G50" s="9" t="str">
        <f t="shared" si="0"/>
        <v>mevzuata git</v>
      </c>
      <c r="H50" s="3" t="s">
        <v>782</v>
      </c>
    </row>
    <row r="51" spans="5:8" x14ac:dyDescent="0.35">
      <c r="E51" s="3">
        <v>49</v>
      </c>
      <c r="F51" s="3" t="s">
        <v>622</v>
      </c>
      <c r="G51" s="9" t="str">
        <f t="shared" si="0"/>
        <v>mevzuata git</v>
      </c>
      <c r="H51" s="3" t="s">
        <v>783</v>
      </c>
    </row>
    <row r="52" spans="5:8" x14ac:dyDescent="0.35">
      <c r="E52" s="3">
        <v>50</v>
      </c>
      <c r="F52" s="3" t="s">
        <v>623</v>
      </c>
      <c r="G52" s="9" t="str">
        <f t="shared" si="0"/>
        <v>mevzuata git</v>
      </c>
      <c r="H52" s="3" t="s">
        <v>784</v>
      </c>
    </row>
    <row r="53" spans="5:8" x14ac:dyDescent="0.35">
      <c r="E53" s="3">
        <v>51</v>
      </c>
      <c r="F53" s="3" t="s">
        <v>624</v>
      </c>
      <c r="G53" s="9" t="str">
        <f t="shared" si="0"/>
        <v>mevzuata git</v>
      </c>
      <c r="H53" s="3" t="s">
        <v>785</v>
      </c>
    </row>
    <row r="54" spans="5:8" x14ac:dyDescent="0.35">
      <c r="E54" s="3">
        <v>52</v>
      </c>
      <c r="F54" s="3" t="s">
        <v>625</v>
      </c>
      <c r="G54" s="9" t="str">
        <f t="shared" si="0"/>
        <v>mevzuata git</v>
      </c>
      <c r="H54" s="3" t="s">
        <v>786</v>
      </c>
    </row>
    <row r="55" spans="5:8" x14ac:dyDescent="0.35">
      <c r="E55" s="3">
        <v>53</v>
      </c>
      <c r="F55" s="3" t="s">
        <v>626</v>
      </c>
      <c r="G55" s="9" t="str">
        <f t="shared" si="0"/>
        <v>mevcut link yok</v>
      </c>
      <c r="H55" s="3"/>
    </row>
    <row r="56" spans="5:8" x14ac:dyDescent="0.35">
      <c r="E56" s="3">
        <v>54</v>
      </c>
      <c r="F56" s="3" t="s">
        <v>627</v>
      </c>
      <c r="G56" s="9" t="str">
        <f t="shared" si="0"/>
        <v>mevzuata git</v>
      </c>
      <c r="H56" s="3" t="s">
        <v>787</v>
      </c>
    </row>
    <row r="57" spans="5:8" x14ac:dyDescent="0.35">
      <c r="E57" s="3">
        <v>55</v>
      </c>
      <c r="F57" s="3" t="s">
        <v>628</v>
      </c>
      <c r="G57" s="9" t="str">
        <f t="shared" si="0"/>
        <v>mevzuata git</v>
      </c>
      <c r="H57" s="3" t="s">
        <v>788</v>
      </c>
    </row>
    <row r="58" spans="5:8" x14ac:dyDescent="0.35">
      <c r="E58" s="3">
        <v>56</v>
      </c>
      <c r="F58" s="3" t="s">
        <v>629</v>
      </c>
      <c r="G58" s="9" t="str">
        <f t="shared" si="0"/>
        <v>mevzuata git</v>
      </c>
      <c r="H58" s="3" t="s">
        <v>789</v>
      </c>
    </row>
    <row r="59" spans="5:8" x14ac:dyDescent="0.35">
      <c r="E59" s="3">
        <v>57</v>
      </c>
      <c r="F59" s="3" t="s">
        <v>630</v>
      </c>
      <c r="G59" s="9" t="str">
        <f t="shared" si="0"/>
        <v>mevzuata git</v>
      </c>
      <c r="H59" s="3" t="s">
        <v>790</v>
      </c>
    </row>
    <row r="60" spans="5:8" x14ac:dyDescent="0.35">
      <c r="E60" s="3">
        <v>58</v>
      </c>
      <c r="F60" s="3" t="s">
        <v>631</v>
      </c>
      <c r="G60" s="9" t="str">
        <f t="shared" si="0"/>
        <v>mevzuata git</v>
      </c>
      <c r="H60" s="3" t="s">
        <v>791</v>
      </c>
    </row>
    <row r="61" spans="5:8" x14ac:dyDescent="0.35">
      <c r="E61" s="3">
        <v>59</v>
      </c>
      <c r="F61" s="3" t="s">
        <v>632</v>
      </c>
      <c r="G61" s="9" t="str">
        <f t="shared" si="0"/>
        <v>mevzuata git</v>
      </c>
      <c r="H61" s="3" t="s">
        <v>792</v>
      </c>
    </row>
    <row r="62" spans="5:8" x14ac:dyDescent="0.35">
      <c r="E62" s="3">
        <v>60</v>
      </c>
      <c r="F62" s="3" t="s">
        <v>633</v>
      </c>
      <c r="G62" s="9" t="str">
        <f t="shared" si="0"/>
        <v>mevzuata git</v>
      </c>
      <c r="H62" s="3" t="s">
        <v>793</v>
      </c>
    </row>
    <row r="63" spans="5:8" x14ac:dyDescent="0.35">
      <c r="E63" s="3">
        <v>61</v>
      </c>
      <c r="F63" s="3" t="s">
        <v>634</v>
      </c>
      <c r="G63" s="9" t="str">
        <f t="shared" si="0"/>
        <v>mevzuata git</v>
      </c>
      <c r="H63" s="3" t="s">
        <v>794</v>
      </c>
    </row>
    <row r="64" spans="5:8" x14ac:dyDescent="0.35">
      <c r="E64" s="3">
        <v>62</v>
      </c>
      <c r="F64" s="3" t="s">
        <v>635</v>
      </c>
      <c r="G64" s="9" t="str">
        <f t="shared" si="0"/>
        <v>mevzuata git</v>
      </c>
      <c r="H64" s="3" t="s">
        <v>795</v>
      </c>
    </row>
    <row r="65" spans="5:8" x14ac:dyDescent="0.35">
      <c r="E65" s="3">
        <v>63</v>
      </c>
      <c r="F65" s="3" t="s">
        <v>636</v>
      </c>
      <c r="G65" s="9" t="str">
        <f t="shared" si="0"/>
        <v>mevzuata git</v>
      </c>
      <c r="H65" s="3" t="s">
        <v>796</v>
      </c>
    </row>
    <row r="66" spans="5:8" x14ac:dyDescent="0.35">
      <c r="E66" s="3">
        <v>64</v>
      </c>
      <c r="F66" s="3" t="s">
        <v>637</v>
      </c>
      <c r="G66" s="9" t="str">
        <f t="shared" si="0"/>
        <v>mevzuata git</v>
      </c>
      <c r="H66" s="3" t="s">
        <v>797</v>
      </c>
    </row>
    <row r="67" spans="5:8" x14ac:dyDescent="0.35">
      <c r="E67" s="3">
        <v>65</v>
      </c>
      <c r="F67" s="3" t="s">
        <v>638</v>
      </c>
      <c r="G67" s="9" t="str">
        <f t="shared" si="0"/>
        <v>mevzuata git</v>
      </c>
      <c r="H67" s="3" t="s">
        <v>798</v>
      </c>
    </row>
    <row r="68" spans="5:8" x14ac:dyDescent="0.35">
      <c r="E68" s="3">
        <v>66</v>
      </c>
      <c r="F68" s="3" t="s">
        <v>639</v>
      </c>
      <c r="G68" s="9" t="str">
        <f t="shared" ref="G68:G78" si="1">IF(LEFT(H68,3)="htt",HYPERLINK(H68,"mevzuata git"),"mevcut link yok")</f>
        <v>mevzuata git</v>
      </c>
      <c r="H68" s="3" t="s">
        <v>799</v>
      </c>
    </row>
    <row r="69" spans="5:8" x14ac:dyDescent="0.35">
      <c r="E69" s="3">
        <v>67</v>
      </c>
      <c r="F69" s="3" t="s">
        <v>640</v>
      </c>
      <c r="G69" s="9" t="str">
        <f t="shared" si="1"/>
        <v>mevzuata git</v>
      </c>
      <c r="H69" s="3" t="s">
        <v>800</v>
      </c>
    </row>
    <row r="70" spans="5:8" x14ac:dyDescent="0.35">
      <c r="E70" s="3">
        <v>68</v>
      </c>
      <c r="F70" s="3" t="s">
        <v>641</v>
      </c>
      <c r="G70" s="9" t="str">
        <f t="shared" si="1"/>
        <v>mevzuata git</v>
      </c>
      <c r="H70" s="3" t="s">
        <v>801</v>
      </c>
    </row>
    <row r="71" spans="5:8" x14ac:dyDescent="0.35">
      <c r="E71" s="3">
        <v>69</v>
      </c>
      <c r="F71" s="3" t="s">
        <v>642</v>
      </c>
      <c r="G71" s="9" t="str">
        <f t="shared" si="1"/>
        <v>mevzuata git</v>
      </c>
      <c r="H71" s="3" t="s">
        <v>802</v>
      </c>
    </row>
    <row r="72" spans="5:8" x14ac:dyDescent="0.35">
      <c r="E72" s="3">
        <v>70</v>
      </c>
      <c r="F72" s="3" t="s">
        <v>643</v>
      </c>
      <c r="G72" s="9" t="str">
        <f t="shared" si="1"/>
        <v>mevzuata git</v>
      </c>
      <c r="H72" s="3" t="s">
        <v>803</v>
      </c>
    </row>
    <row r="73" spans="5:8" x14ac:dyDescent="0.35">
      <c r="E73" s="3">
        <v>71</v>
      </c>
      <c r="F73" s="3" t="s">
        <v>644</v>
      </c>
      <c r="G73" s="9" t="str">
        <f t="shared" si="1"/>
        <v>mevzuata git</v>
      </c>
      <c r="H73" s="3" t="s">
        <v>804</v>
      </c>
    </row>
    <row r="74" spans="5:8" x14ac:dyDescent="0.35">
      <c r="E74" s="3">
        <v>72</v>
      </c>
      <c r="F74" s="3" t="s">
        <v>645</v>
      </c>
      <c r="G74" s="9" t="str">
        <f t="shared" si="1"/>
        <v>mevzuata git</v>
      </c>
      <c r="H74" s="3" t="s">
        <v>805</v>
      </c>
    </row>
    <row r="75" spans="5:8" x14ac:dyDescent="0.35">
      <c r="E75" s="3">
        <v>73</v>
      </c>
      <c r="F75" s="3" t="s">
        <v>646</v>
      </c>
      <c r="G75" s="9" t="str">
        <f t="shared" si="1"/>
        <v>mevzuata git</v>
      </c>
      <c r="H75" s="3" t="s">
        <v>806</v>
      </c>
    </row>
    <row r="76" spans="5:8" x14ac:dyDescent="0.35">
      <c r="E76" s="3">
        <v>74</v>
      </c>
      <c r="F76" s="3" t="s">
        <v>647</v>
      </c>
      <c r="G76" s="9" t="str">
        <f t="shared" si="1"/>
        <v>mevzuata git</v>
      </c>
      <c r="H76" s="3" t="s">
        <v>807</v>
      </c>
    </row>
    <row r="77" spans="5:8" x14ac:dyDescent="0.35">
      <c r="E77" s="3">
        <v>75</v>
      </c>
      <c r="F77" s="3" t="s">
        <v>648</v>
      </c>
      <c r="G77" s="9" t="str">
        <f t="shared" si="1"/>
        <v>mevzuata git</v>
      </c>
      <c r="H77" s="3" t="s">
        <v>808</v>
      </c>
    </row>
    <row r="78" spans="5:8" x14ac:dyDescent="0.35">
      <c r="E78" s="3">
        <v>76</v>
      </c>
      <c r="F78" s="3" t="s">
        <v>649</v>
      </c>
      <c r="G78" s="9" t="str">
        <f t="shared" si="1"/>
        <v>mevzuata git</v>
      </c>
      <c r="H78" s="3" t="s">
        <v>809</v>
      </c>
    </row>
  </sheetData>
  <conditionalFormatting sqref="G3:G78">
    <cfRule type="cellIs" dxfId="1" priority="1" operator="equal">
      <formula>"mevcut link yok"</formula>
    </cfRule>
    <cfRule type="cellIs" dxfId="0" priority="2" operator="equal">
      <formula>"mevzuata git"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C1"/>
  <sheetViews>
    <sheetView workbookViewId="0">
      <selection activeCell="G7" sqref="G7"/>
    </sheetView>
  </sheetViews>
  <sheetFormatPr defaultRowHeight="14.5" x14ac:dyDescent="0.35"/>
  <cols>
    <col min="1" max="3" width="8.7265625" style="1"/>
    <col min="4" max="16384" width="8.7265625" style="2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Başlangıç</vt:lpstr>
      <vt:lpstr>Teftiş Noktaları</vt:lpstr>
      <vt:lpstr>Mevzuat Bankası</vt:lpstr>
      <vt:lpstr>Özet Tablo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Çağrı KAÇAR</dc:creator>
  <cp:lastModifiedBy>Furkan NEŞELİ</cp:lastModifiedBy>
  <dcterms:created xsi:type="dcterms:W3CDTF">2015-06-05T18:19:34Z</dcterms:created>
  <dcterms:modified xsi:type="dcterms:W3CDTF">2026-01-19T11:06:22Z</dcterms:modified>
</cp:coreProperties>
</file>